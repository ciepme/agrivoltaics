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functions\PVeconomicsfiles\"/>
    </mc:Choice>
  </mc:AlternateContent>
  <xr:revisionPtr revIDLastSave="0" documentId="13_ncr:1_{9805CDE7-BC46-48BB-B156-A7E6D5869C75}" xr6:coauthVersionLast="47" xr6:coauthVersionMax="47" xr10:uidLastSave="{00000000-0000-0000-0000-000000000000}"/>
  <bookViews>
    <workbookView xWindow="-110" yWindow="-110" windowWidth="38620" windowHeight="2122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E12" i="24"/>
  <c r="E11" i="24"/>
  <c r="E10" i="24"/>
  <c r="B3" i="24"/>
  <c r="A3" i="24"/>
  <c r="E14" i="16"/>
  <c r="E13" i="16"/>
  <c r="E12" i="16"/>
  <c r="E11" i="16"/>
  <c r="E10" i="16"/>
  <c r="A3" i="16"/>
  <c r="E16" i="18"/>
  <c r="E15" i="18"/>
  <c r="G14" i="18"/>
  <c r="G11" i="18"/>
  <c r="A3" i="18"/>
  <c r="E15" i="19"/>
  <c r="E14" i="19"/>
  <c r="G13" i="19"/>
  <c r="E13" i="19"/>
  <c r="G12" i="19"/>
  <c r="E12" i="19"/>
  <c r="E11" i="19"/>
  <c r="E10" i="19"/>
  <c r="A3" i="19"/>
  <c r="G20" i="17"/>
  <c r="E19" i="17"/>
  <c r="E16" i="17"/>
  <c r="E15" i="17"/>
  <c r="E14" i="17"/>
  <c r="E13" i="17"/>
  <c r="G10" i="17"/>
  <c r="E19" i="20"/>
  <c r="E16" i="20"/>
  <c r="E15" i="20"/>
  <c r="E14" i="20"/>
  <c r="E19" i="21"/>
  <c r="E16" i="21"/>
  <c r="E15" i="21"/>
  <c r="E14" i="21"/>
  <c r="E13" i="21"/>
  <c r="E12" i="21"/>
  <c r="E11" i="21"/>
  <c r="E10" i="21"/>
  <c r="C17" i="3"/>
  <c r="C16" i="3"/>
  <c r="E15" i="3"/>
  <c r="C15" i="3"/>
  <c r="E14" i="3"/>
  <c r="C14" i="3"/>
  <c r="E13" i="3"/>
  <c r="C13" i="3"/>
  <c r="E12" i="3"/>
  <c r="C12" i="3"/>
  <c r="E11" i="3"/>
  <c r="C11" i="3"/>
  <c r="C10" i="3"/>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F12" i="17"/>
  <c r="H10" i="17"/>
  <c r="F16" i="14"/>
  <c r="F20" i="16"/>
  <c r="H18" i="14"/>
  <c r="F21" i="3"/>
  <c r="H17" i="21"/>
  <c r="H12" i="19"/>
  <c r="F19" i="14"/>
  <c r="H21" i="20"/>
  <c r="H12" i="17"/>
  <c r="F20" i="17"/>
  <c r="H11" i="20"/>
  <c r="H17" i="14"/>
  <c r="H11" i="18"/>
  <c r="F21" i="21"/>
  <c r="F17" i="20"/>
  <c r="H20" i="3"/>
  <c r="F12" i="20"/>
  <c r="H20" i="21"/>
  <c r="F10" i="20"/>
  <c r="H10" i="20"/>
  <c r="F11" i="20"/>
  <c r="F21" i="17"/>
  <c r="F20" i="20"/>
  <c r="F17" i="24"/>
  <c r="F10" i="17"/>
  <c r="H21" i="3"/>
  <c r="F19" i="3"/>
  <c r="H16" i="14"/>
  <c r="F17" i="17"/>
  <c r="H15" i="17"/>
  <c r="F10" i="21"/>
  <c r="F16" i="21"/>
  <c r="H21" i="21"/>
  <c r="H17" i="20"/>
  <c r="H17" i="17"/>
  <c r="F11" i="17"/>
  <c r="H11" i="16"/>
  <c r="F20" i="21"/>
  <c r="F14" i="21"/>
  <c r="H19" i="14"/>
  <c r="H13" i="20"/>
  <c r="H15" i="21"/>
  <c r="F21" i="20"/>
  <c r="H10" i="24"/>
  <c r="F13" i="20"/>
  <c r="F18" i="3"/>
  <c r="H20" i="17"/>
  <c r="H15" i="14"/>
  <c r="H12" i="20"/>
  <c r="F18" i="14"/>
  <c r="F15" i="14"/>
  <c r="F17" i="21"/>
  <c r="F21" i="14"/>
  <c r="H18" i="3"/>
  <c r="H11" i="17"/>
  <c r="F17" i="14"/>
  <c r="H14" i="20"/>
  <c r="H21" i="17"/>
  <c r="H10" i="16"/>
  <c r="H13" i="19"/>
  <c r="H19" i="3"/>
  <c r="F13" i="21"/>
  <c r="H20" i="14"/>
  <c r="F20" i="3"/>
  <c r="F15" i="20"/>
  <c r="F20" i="14"/>
  <c r="H21" i="14"/>
  <c r="H16" i="17"/>
  <c r="F15" i="19"/>
  <c r="F19" i="20"/>
  <c r="F14" i="17"/>
  <c r="F10" i="18"/>
  <c r="F19" i="17"/>
  <c r="F11" i="21"/>
  <c r="H13" i="17"/>
  <c r="F12" i="21"/>
  <c r="H14" i="18"/>
  <c r="F21" i="22"/>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F10" i="24"/>
  <c r="F10" i="22"/>
  <c r="F12" i="19"/>
  <c r="F13" i="18"/>
  <c r="F11" i="19"/>
  <c r="F14" i="24"/>
  <c r="F21" i="19"/>
  <c r="F19" i="24"/>
  <c r="H18" i="19"/>
  <c r="F13" i="19"/>
  <c r="H20" i="24"/>
  <c r="H15" i="24"/>
  <c r="H11" i="19"/>
  <c r="F17" i="16"/>
  <c r="F11" i="24"/>
  <c r="F18" i="24"/>
  <c r="H14" i="19"/>
  <c r="H19" i="24"/>
  <c r="F16" i="16"/>
  <c r="F18" i="18"/>
  <c r="H19" i="19"/>
  <c r="H19" i="22"/>
  <c r="H10" i="22"/>
  <c r="F20" i="19"/>
  <c r="H11" i="21"/>
  <c r="F14" i="19"/>
  <c r="H16" i="21"/>
  <c r="H20" i="22"/>
  <c r="H17" i="18"/>
  <c r="F12" i="16"/>
  <c r="F15" i="18"/>
  <c r="H20" i="18"/>
  <c r="F14" i="18"/>
  <c r="F11" i="16"/>
  <c r="H15" i="19"/>
  <c r="F12" i="24"/>
  <c r="H17" i="24"/>
  <c r="F10" i="19"/>
  <c r="H17" i="16"/>
  <c r="H17" i="19"/>
  <c r="F14" i="16"/>
  <c r="H19" i="20"/>
  <c r="H16" i="22"/>
  <c r="F16" i="19"/>
  <c r="F10" i="16"/>
  <c r="H15" i="20"/>
  <c r="H13" i="21"/>
  <c r="H11" i="24"/>
  <c r="F16" i="24"/>
  <c r="F14" i="20"/>
  <c r="H14" i="21"/>
  <c r="H16" i="18"/>
  <c r="F15" i="24"/>
  <c r="F15" i="17"/>
  <c r="H21" i="18"/>
  <c r="H15" i="18"/>
  <c r="H19" i="16"/>
  <c r="H10" i="18"/>
  <c r="H10" i="21"/>
  <c r="F11" i="22"/>
  <c r="H12" i="24"/>
  <c r="H16" i="16"/>
  <c r="F21" i="16"/>
  <c r="H18" i="18"/>
  <c r="F19" i="18"/>
  <c r="H21" i="24"/>
  <c r="F16" i="17"/>
  <c r="F17" i="19"/>
  <c r="F19" i="22"/>
  <c r="F11" i="18"/>
  <c r="H13" i="24"/>
  <c r="F12" i="18"/>
  <c r="F18" i="19"/>
  <c r="F15" i="16"/>
  <c r="H16" i="19"/>
  <c r="H13" i="18"/>
  <c r="H11" i="22"/>
  <c r="F18" i="16"/>
  <c r="H21" i="19"/>
  <c r="F13" i="24"/>
  <c r="F17" i="18"/>
  <c r="H15" i="16"/>
  <c r="F16" i="22"/>
  <c r="H12" i="16"/>
  <c r="H14" i="16"/>
  <c r="F15" i="21"/>
  <c r="F20" i="18"/>
  <c r="F13" i="16"/>
  <c r="H20" i="19"/>
  <c r="F21" i="18"/>
  <c r="F20" i="22"/>
  <c r="H12" i="21"/>
  <c r="H14" i="17"/>
  <c r="F20" i="24"/>
  <c r="H19" i="17"/>
  <c r="H13" i="16"/>
  <c r="H12" i="18"/>
  <c r="H18" i="24"/>
  <c r="H18" i="16"/>
  <c r="H10" i="19"/>
  <c r="F16" i="20"/>
  <c r="H21" i="16"/>
  <c r="H16" i="24"/>
  <c r="F13" i="17"/>
  <c r="H21" i="22"/>
  <c r="H19" i="18"/>
  <c r="H14" i="24"/>
  <c r="F19" i="19"/>
  <c r="F16" i="18"/>
  <c r="H20" i="16"/>
  <c r="F21" i="24"/>
  <c r="F19" i="16"/>
  <c r="D18" i="17" l="1"/>
  <c r="G18" i="17"/>
  <c r="D18" i="21"/>
  <c r="D18" i="20"/>
  <c r="H9" i="22"/>
  <c r="E9" i="22"/>
  <c r="F9" i="22"/>
  <c r="A2" i="19"/>
  <c r="A2" i="18"/>
  <c r="A2" i="24"/>
  <c r="A2" i="16"/>
  <c r="H9" i="14"/>
  <c r="F9" i="14"/>
  <c r="E9" i="14"/>
  <c r="H9" i="17"/>
  <c r="F9" i="17"/>
  <c r="E9" i="17"/>
  <c r="H9" i="20"/>
  <c r="F9" i="20"/>
  <c r="E9" i="20"/>
  <c r="H9" i="21"/>
  <c r="F9" i="21"/>
  <c r="E9" i="21"/>
  <c r="H9" i="3"/>
  <c r="F18" i="21"/>
  <c r="H16" i="20"/>
  <c r="F19" i="21"/>
  <c r="H18" i="17"/>
  <c r="F18" i="17"/>
  <c r="F18" i="20"/>
  <c r="G18" i="20" l="1"/>
  <c r="E9" i="24"/>
  <c r="H9" i="19"/>
  <c r="F9" i="3"/>
  <c r="E9" i="3"/>
  <c r="E9" i="18"/>
  <c r="F9" i="18"/>
  <c r="H9" i="18"/>
  <c r="H9" i="24"/>
  <c r="F9" i="24"/>
  <c r="E9" i="16"/>
  <c r="F9" i="16"/>
  <c r="H9" i="16"/>
  <c r="F22" i="17" l="1"/>
  <c r="D12" i="3" s="1"/>
  <c r="F9" i="19"/>
  <c r="E9" i="19"/>
  <c r="F22" i="19"/>
  <c r="D13" i="3" s="1"/>
  <c r="H22" i="24"/>
  <c r="G16" i="3" s="1"/>
  <c r="F22" i="24"/>
  <c r="D16" i="3" s="1"/>
  <c r="F22" i="18"/>
  <c r="D14" i="3" s="1"/>
  <c r="H22" i="19"/>
  <c r="G13" i="3" s="1"/>
  <c r="H22" i="18"/>
  <c r="G14" i="3" s="1"/>
  <c r="H16" i="3"/>
  <c r="H13" i="3"/>
  <c r="F12" i="3"/>
  <c r="F14" i="3"/>
  <c r="F13" i="3"/>
  <c r="F16" i="3"/>
  <c r="H14" i="3"/>
  <c r="D12" i="22" l="1"/>
  <c r="D15" i="22"/>
  <c r="H22" i="16"/>
  <c r="G15" i="3" s="1"/>
  <c r="F22" i="16"/>
  <c r="D15" i="3" s="1"/>
  <c r="H12" i="22"/>
  <c r="F15" i="22"/>
  <c r="F15" i="3"/>
  <c r="H15" i="3"/>
  <c r="F22" i="20" l="1"/>
  <c r="D11" i="3" s="1"/>
  <c r="F12" i="22"/>
  <c r="H15" i="22"/>
  <c r="F11" i="3"/>
  <c r="D14" i="22" l="1"/>
  <c r="H22" i="17"/>
  <c r="G12" i="3" s="1"/>
  <c r="H12" i="3"/>
  <c r="F14" i="22"/>
  <c r="F22" i="21" l="1"/>
  <c r="D10" i="3" s="1"/>
  <c r="H14" i="22"/>
  <c r="H18" i="20"/>
  <c r="F14" i="14"/>
  <c r="H19" i="21"/>
  <c r="H14" i="14"/>
  <c r="F10" i="3"/>
  <c r="D11" i="14" l="1"/>
  <c r="D13" i="22"/>
  <c r="D10" i="14"/>
  <c r="D12" i="14"/>
  <c r="G18" i="21"/>
  <c r="G20" i="20"/>
  <c r="F11" i="14"/>
  <c r="H13" i="22"/>
  <c r="F10" i="14"/>
  <c r="F12" i="14"/>
  <c r="H18" i="21"/>
  <c r="H20" i="20"/>
  <c r="D13" i="14" l="1"/>
  <c r="H22" i="21"/>
  <c r="G10" i="3" s="1"/>
  <c r="H22" i="20"/>
  <c r="G11" i="3" s="1"/>
  <c r="F13" i="22"/>
  <c r="H11" i="3"/>
  <c r="H10" i="3"/>
  <c r="F13" i="14"/>
  <c r="G12" i="14" l="1"/>
  <c r="G11" i="14"/>
  <c r="G10" i="14"/>
  <c r="F22" i="14"/>
  <c r="D17" i="3" s="1"/>
  <c r="H12" i="14"/>
  <c r="H11" i="14"/>
  <c r="F17" i="3"/>
  <c r="H10" i="14"/>
  <c r="G13" i="14" l="1"/>
  <c r="F22" i="3"/>
  <c r="H13" i="14"/>
  <c r="D18" i="22" l="1"/>
  <c r="D17" i="22"/>
  <c r="H22" i="14"/>
  <c r="G17" i="3" s="1"/>
  <c r="H18" i="22"/>
  <c r="F17" i="22"/>
  <c r="H17" i="3"/>
  <c r="H22" i="3" l="1"/>
  <c r="F18" i="22"/>
  <c r="H17" i="22"/>
  <c r="F22" i="22" l="1"/>
  <c r="H2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819362F3-DEC6-46B3-A833-4138AAC1333B}">
      <text>
        <r>
          <rPr>
            <sz val="9"/>
            <color indexed="81"/>
            <rFont val="Tahoma"/>
            <family val="2"/>
          </rPr>
          <t>PV Benchmark Range:     $1172 - $1461            PV+ESS Range:          $1728 - $2365</t>
        </r>
      </text>
    </comment>
    <comment ref="H22" authorId="1" shapeId="0" xr:uid="{74A45329-AF1A-45E1-B9DF-B9D85ABAC2BA}">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8BB1E815-BB08-43C7-9D34-CD3BDFF3E284}">
      <text>
        <r>
          <rPr>
            <sz val="9"/>
            <color indexed="81"/>
            <rFont val="Tahoma"/>
            <family val="2"/>
          </rPr>
          <t>Benchmark Range:     $211 - $289</t>
        </r>
      </text>
    </comment>
    <comment ref="H22" authorId="1" shapeId="0" xr:uid="{AA0280E7-B2CF-4FB0-B908-54D8796D4B8E}">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34C9E444-897A-4B3F-A5A2-39ADEF82825A}">
      <text>
        <r>
          <rPr>
            <sz val="9"/>
            <color indexed="81"/>
            <rFont val="Tahoma"/>
            <family val="2"/>
          </rPr>
          <t>Benchmark Range:     $35 - $104</t>
        </r>
      </text>
    </comment>
    <comment ref="H22" authorId="1" shapeId="0" xr:uid="{2342DC41-59AA-40F6-9F0F-1404E0F17909}">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71BE4CE6-8B57-42AA-BD22-6105A07A574E}">
      <text>
        <r>
          <rPr>
            <sz val="9"/>
            <color indexed="81"/>
            <rFont val="Tahoma"/>
            <family val="2"/>
          </rPr>
          <t>Benchmark Range:     $148 - $272</t>
        </r>
      </text>
    </comment>
    <comment ref="H22" authorId="1" shapeId="0" xr:uid="{82B5A01B-F96A-4623-BB75-A71AAF6FDD09}">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54D2E5BB-14DB-4255-95FB-F4A558D0CE5A}">
      <text>
        <r>
          <rPr>
            <sz val="9"/>
            <color indexed="81"/>
            <rFont val="Tahoma"/>
            <family val="2"/>
          </rPr>
          <t>PV Benchmark Range:     $28 - $47            PV+ESS Range:          $30 - $49</t>
        </r>
      </text>
    </comment>
    <comment ref="H22" authorId="1" shapeId="0" xr:uid="{61AF130A-F7DA-429B-9687-D24C0F5FED63}">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B96836B3-229A-451C-9D89-CBA8EBA63928}">
      <text>
        <r>
          <rPr>
            <sz val="9"/>
            <color indexed="81"/>
            <rFont val="Tahoma"/>
            <family val="2"/>
          </rPr>
          <t>PV Benchmark Range:     $245 - $245            PV+ESS Range:          $245 - $245</t>
        </r>
      </text>
    </comment>
    <comment ref="H22" authorId="1" shapeId="0" xr:uid="{35C71EFD-2250-4809-8BC8-77E3CDFBD30D}">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D2D65535-E30A-4ABA-A975-3BC3B0D63CB3}">
      <text>
        <r>
          <rPr>
            <sz val="9"/>
            <color indexed="81"/>
            <rFont val="Tahoma"/>
            <family val="2"/>
          </rPr>
          <t>PV Benchmark Range:     $55 - $97            PV+ESS Range:          $88 - $130</t>
        </r>
      </text>
    </comment>
    <comment ref="H22" authorId="1" shapeId="0" xr:uid="{A245F9D7-3FFA-47DD-948E-FE0D34AF0BA4}">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547B83AE-182C-481A-8BAB-4B7A7015CABE}">
      <text>
        <r>
          <rPr>
            <sz val="9"/>
            <color indexed="81"/>
            <rFont val="Tahoma"/>
            <family val="2"/>
          </rPr>
          <t>PV Benchmark Range:     $148 - $165            PV+ESS Range:          $148 - $165</t>
        </r>
      </text>
    </comment>
    <comment ref="H22" authorId="1" shapeId="0" xr:uid="{FDC6DBFC-5A86-431B-9C8A-CB5B6175A0D6}">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11125478-FD90-44D0-B668-C0C4C884F0B4}">
      <text>
        <r>
          <rPr>
            <sz val="9"/>
            <color indexed="81"/>
            <rFont val="Tahoma"/>
            <family val="2"/>
          </rPr>
          <t>PV Benchmark Range:     $189 - $236            PV+ESS Range:          $276 - $381</t>
        </r>
      </text>
    </comment>
    <comment ref="H22" authorId="1" shapeId="0" xr:uid="{8A5A7451-AAAE-4B7F-8BC2-C2CE0BC292CB}">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9CBC35A8-5A33-4AA4-AF02-701C6271AAE0}">
      <text>
        <r>
          <rPr>
            <sz val="9"/>
            <color indexed="81"/>
            <rFont val="Tahoma"/>
            <family val="2"/>
          </rPr>
          <t>PV Benchmark Range:     $17 - $26            PV+ESS Range:          $35 - $57</t>
        </r>
      </text>
    </comment>
    <comment ref="H22" authorId="1" shapeId="0" xr:uid="{3870E948-B5D9-48FD-A97D-7E2F10A19633}">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<sst xmlns="http://schemas.openxmlformats.org/spreadsheetml/2006/main" count="697" uniqueCount="320">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</sst>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230.84549964727131</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144.97358768635922</c:v>
                </c:pt>
                <c:pt idx="1">
                  <c:v>146.87389632833452</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363.57571630232428</c:v>
                </c:pt>
                <c:pt idx="1">
                  <c:v>383.48021630232427</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355.40941020670596</c:v>
                </c:pt>
                <c:pt idx="1">
                  <c:v>362.90941020670596</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240.44386214419299</c:v>
                </c:pt>
                <c:pt idx="1">
                  <c:v>270.67745488526612</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1.4497358768635922</c:v>
                </c:pt>
                <c:pt idx="1">
                  <c:v>1.4497358768635922</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0.2308454996472713</c:v>
                </c:pt>
                <c:pt idx="1">
                  <c:v>0.2308454996472713</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3.1291820789810068</c:v>
                </c:pt>
                <c:pt idx="1">
                  <c:v>3.1291820789810068</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3.9114775987262584</c:v>
                </c:pt>
                <c:pt idx="1">
                  <c:v>3.9114775987262584</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16.991926248648504</c:v>
                </c:pt>
                <c:pt idx="1">
                  <c:v>16.991926248648504</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4" workbookViewId="0">
      <selection activeCell="A10" sqref="A10"/>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319</v>
      </c>
      <c r="E2" s="69"/>
      <c r="F2" s="69"/>
      <c r="G2"/>
      <c r="H2" s="16"/>
      <c r="I2" t="s">
        <v>9</v>
      </c>
      <c r="J2"/>
    </row>
    <row r="3" spans="1:20" ht="18" customHeight="1">
      <c r="A3" s="32">
        <v>521.03</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230.84549964727131</v>
      </c>
      <c r="E10" s="30">
        <v>1</v>
      </c>
      <c r="F10" s="7">
        <f t="shared" ref="F10:F21" si="0">E10*D10*includerow(I10,IncludeESS,IncludeIndirect)</f>
        <v>230.84549964727131</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28.994717537271843</v>
      </c>
      <c r="E13" s="30">
        <f>1/ModuleEfficiency</f>
        <v>5</v>
      </c>
      <c r="F13" s="7">
        <f t="shared" si="0"/>
        <v>144.97358768635922</v>
      </c>
      <c r="G13" s="49">
        <f>SBOSMMP</f>
        <v>29.374779265666906</v>
      </c>
      <c r="H13" s="7">
        <f t="shared" si="1"/>
        <v>146.87389632833452</v>
      </c>
      <c r="I13" s="37"/>
      <c r="J13" s="2"/>
      <c r="K13"/>
      <c r="L13"/>
      <c r="M13"/>
      <c r="N13"/>
      <c r="O13"/>
      <c r="P13"/>
      <c r="Q13"/>
      <c r="R13"/>
      <c r="S13"/>
      <c r="T13"/>
    </row>
    <row r="14" spans="1:20" ht="18" customHeight="1">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c r="A15" s="13" t="s">
        <v>40</v>
      </c>
      <c r="B15" s="34" t="s">
        <v>82</v>
      </c>
      <c r="C15" s="24" t="str">
        <f>FieldworkUnit</f>
        <v>m2</v>
      </c>
      <c r="D15" s="49">
        <f>FieldworkMSP</f>
        <v>72.715143260464856</v>
      </c>
      <c r="E15" s="30">
        <f>1/ModuleEfficiency</f>
        <v>5</v>
      </c>
      <c r="F15" s="7">
        <f t="shared" si="0"/>
        <v>363.57571630232428</v>
      </c>
      <c r="G15" s="49">
        <f>FieldworkMMP</f>
        <v>76.696043260464847</v>
      </c>
      <c r="H15" s="7">
        <f t="shared" si="1"/>
        <v>383.48021630232427</v>
      </c>
      <c r="I15" s="37"/>
      <c r="J15" s="2"/>
      <c r="K15"/>
      <c r="L15"/>
      <c r="M15"/>
      <c r="N15"/>
      <c r="O15"/>
      <c r="P15"/>
      <c r="Q15"/>
      <c r="R15"/>
      <c r="S15"/>
      <c r="T15"/>
    </row>
    <row r="16" spans="1:20" ht="18" customHeight="1">
      <c r="A16" s="13" t="s">
        <v>41</v>
      </c>
      <c r="B16" s="34" t="s">
        <v>82</v>
      </c>
      <c r="C16" s="24" t="str">
        <f>OfficeworkUnit</f>
        <v>kWdc</v>
      </c>
      <c r="D16" s="49">
        <f>OfficeworkMSP</f>
        <v>355.40941020670596</v>
      </c>
      <c r="E16" s="30">
        <v>1</v>
      </c>
      <c r="F16" s="7">
        <f t="shared" si="0"/>
        <v>355.40941020670596</v>
      </c>
      <c r="G16" s="49">
        <f>OfficeworkMMP</f>
        <v>362.90941020670596</v>
      </c>
      <c r="H16" s="7">
        <f t="shared" si="1"/>
        <v>362.90941020670596</v>
      </c>
      <c r="I16" s="37" t="s">
        <v>83</v>
      </c>
      <c r="J16" s="2"/>
      <c r="K16"/>
      <c r="L16"/>
      <c r="M16"/>
      <c r="N16"/>
      <c r="O16"/>
      <c r="P16"/>
      <c r="Q16"/>
      <c r="R16"/>
      <c r="S16"/>
      <c r="T16"/>
    </row>
    <row r="17" spans="1:20" ht="18" customHeight="1">
      <c r="A17" s="13" t="s">
        <v>11</v>
      </c>
      <c r="B17" s="65" t="s">
        <v>84</v>
      </c>
      <c r="C17" s="24" t="str">
        <f>OtherUnit</f>
        <v>kWdc</v>
      </c>
      <c r="D17" s="49">
        <f>OtherMSP</f>
        <v>240.44386214419299</v>
      </c>
      <c r="E17" s="30">
        <v>1</v>
      </c>
      <c r="F17" s="7">
        <f t="shared" si="0"/>
        <v>240.44386214419299</v>
      </c>
      <c r="G17" s="49">
        <f>OtherMMP</f>
        <v>270.67745488526612</v>
      </c>
      <c r="H17" s="7">
        <f t="shared" si="1"/>
        <v>270.67745488526612</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1564.5910394905034</v>
      </c>
      <c r="G22" s="15" t="s">
        <v>61</v>
      </c>
      <c r="H22" s="8">
        <f>SUM(H10:H21)</f>
        <v>1748.8460872116823</v>
      </c>
      <c r="I22"/>
      <c r="J22"/>
    </row>
  </sheetData>
  <sheetProtection algorithmName="SHA-512" hashValue="EH+NCcEJFXAn4WkKjWep61xrO/jdzEJfu7xD5uONG4jGmt0Obui9jOWgbm0K4ymk4Zd6ARVIr/I3MGYyX4J8Kg==" saltValue="UNEKV0yfqlDRZzN8KiAH6g=="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7.7818593528315372</v>
      </c>
      <c r="F11" s="7">
        <f t="shared" si="0"/>
        <v>11.672789029247305</v>
      </c>
      <c r="G11" s="10"/>
      <c r="H11" s="12">
        <f t="shared" si="1"/>
        <v>11.672789029247305</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0.67845330015968086</v>
      </c>
      <c r="F13" s="7">
        <f t="shared" si="0"/>
        <v>4.2742557910059897</v>
      </c>
      <c r="G13" s="10"/>
      <c r="H13" s="12">
        <f t="shared" si="1"/>
        <v>4.2742557910059897</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13.60284938484113</v>
      </c>
      <c r="E18" s="30">
        <v>1</v>
      </c>
      <c r="F18" s="7">
        <f t="shared" si="0"/>
        <v>13.60284938484113</v>
      </c>
      <c r="G18" s="75">
        <f>ModuleMarketPrice-SUM(H10:H17,H19:H21)</f>
        <v>103.45122728859025</v>
      </c>
      <c r="H18" s="12">
        <f t="shared" si="1"/>
        <v>103.45122728859025</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230.84549964727131</v>
      </c>
      <c r="G22" s="15" t="s">
        <v>61</v>
      </c>
      <c r="H22" s="8">
        <f>SUM(H10:H21)</f>
        <v>336</v>
      </c>
      <c r="I22"/>
      <c r="J22"/>
    </row>
    <row r="23" spans="1:10">
      <c r="F23" s="11"/>
    </row>
  </sheetData>
  <sheetProtection algorithmName="SHA-512" hashValue="8p0CQubqSatUt252i0K/GgLS5+lCeS3OWZV8bCQHBxANDO4IsS+z/CVfE5+CBm1ozfbzmcTcUTnFVAJbvrGN6g==" saltValue="lS1GKr+WbCLr31KTT1Q+Tw=="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c r="A11" s="13" t="s">
        <v>114</v>
      </c>
      <c r="B11" s="6"/>
      <c r="C11" s="28" t="s">
        <v>74</v>
      </c>
      <c r="D11" s="4">
        <v>7.7</v>
      </c>
      <c r="E11" s="30">
        <v>1</v>
      </c>
      <c r="F11" s="7">
        <f t="shared" si="0"/>
        <v>7.7</v>
      </c>
      <c r="G11" s="5"/>
      <c r="H11" s="12">
        <f t="shared" si="1"/>
        <v>7.7</v>
      </c>
      <c r="I11" s="37"/>
      <c r="J11" s="2" t="s">
        <v>282</v>
      </c>
    </row>
    <row r="12" spans="1:15" ht="18" customHeight="1">
      <c r="A12" s="13" t="s">
        <v>115</v>
      </c>
      <c r="B12" s="6"/>
      <c r="C12" s="28" t="s">
        <v>74</v>
      </c>
      <c r="D12" s="4">
        <v>3.3</v>
      </c>
      <c r="E12" s="30">
        <v>1</v>
      </c>
      <c r="F12" s="7">
        <f t="shared" si="0"/>
        <v>3.3</v>
      </c>
      <c r="G12" s="5"/>
      <c r="H12" s="12">
        <f t="shared" si="1"/>
        <v>3.3</v>
      </c>
      <c r="I12" s="37"/>
      <c r="J12" s="2"/>
    </row>
    <row r="13" spans="1:15" ht="18" customHeight="1">
      <c r="A13" s="13" t="s">
        <v>116</v>
      </c>
      <c r="B13" s="6"/>
      <c r="C13" s="28" t="s">
        <v>74</v>
      </c>
      <c r="D13" s="4">
        <v>7.5</v>
      </c>
      <c r="E13" s="30">
        <v>1</v>
      </c>
      <c r="F13" s="7">
        <f t="shared" si="0"/>
        <v>7.5</v>
      </c>
      <c r="G13" s="5"/>
      <c r="H13" s="12">
        <f t="shared" si="1"/>
        <v>7.5</v>
      </c>
      <c r="I13" s="37"/>
      <c r="J13" s="2" t="s">
        <v>117</v>
      </c>
    </row>
    <row r="14" spans="1:15" ht="18" customHeight="1">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c r="A16" s="13" t="s">
        <v>102</v>
      </c>
      <c r="B16" s="6"/>
      <c r="C16" s="28" t="s">
        <v>119</v>
      </c>
      <c r="D16" s="4">
        <v>6</v>
      </c>
      <c r="E16" s="30">
        <f>InverterDepreciation</f>
        <v>0.125</v>
      </c>
      <c r="F16" s="7">
        <f t="shared" si="0"/>
        <v>0.75</v>
      </c>
      <c r="G16" s="5"/>
      <c r="H16" s="12">
        <f t="shared" si="1"/>
        <v>0.75</v>
      </c>
      <c r="I16" s="37" t="s">
        <v>83</v>
      </c>
      <c r="J16" s="2" t="s">
        <v>283</v>
      </c>
    </row>
    <row r="17" spans="1:10" ht="18" customHeight="1">
      <c r="A17" s="13" t="s">
        <v>105</v>
      </c>
      <c r="B17" s="6"/>
      <c r="C17" s="28" t="s">
        <v>74</v>
      </c>
      <c r="D17" s="4">
        <v>0.24</v>
      </c>
      <c r="E17" s="30">
        <v>1</v>
      </c>
      <c r="F17" s="7">
        <f t="shared" si="0"/>
        <v>0.24</v>
      </c>
      <c r="G17" s="5"/>
      <c r="H17" s="12">
        <f t="shared" si="1"/>
        <v>0.24</v>
      </c>
      <c r="I17" s="37" t="s">
        <v>83</v>
      </c>
      <c r="J17" s="2" t="s">
        <v>131</v>
      </c>
    </row>
    <row r="18" spans="1:10" ht="18" customHeight="1">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c r="A19" s="13" t="s">
        <v>109</v>
      </c>
      <c r="B19" s="6"/>
      <c r="C19" s="29" t="s">
        <v>110</v>
      </c>
      <c r="D19" s="4">
        <v>30</v>
      </c>
      <c r="E19" s="30">
        <f>InverterWeight</f>
        <v>0.78900000000000003</v>
      </c>
      <c r="F19" s="7">
        <f t="shared" si="0"/>
        <v>23.67</v>
      </c>
      <c r="G19" s="5"/>
      <c r="H19" s="12">
        <f t="shared" si="1"/>
        <v>23.67</v>
      </c>
      <c r="I19" s="37" t="s">
        <v>83</v>
      </c>
      <c r="J19" s="2"/>
    </row>
    <row r="20" spans="1:10" ht="18" customHeight="1">
      <c r="A20" s="13" t="s">
        <v>285</v>
      </c>
      <c r="B20" s="6"/>
      <c r="C20" s="24" t="s">
        <v>74</v>
      </c>
      <c r="D20" s="4"/>
      <c r="E20" s="30">
        <v>1</v>
      </c>
      <c r="F20" s="7">
        <f t="shared" si="0"/>
        <v>0</v>
      </c>
      <c r="G20" s="67">
        <f>SUM(H10:H18)*Tariff301</f>
        <v>10.266</v>
      </c>
      <c r="H20" s="12">
        <f t="shared" si="1"/>
        <v>10.266</v>
      </c>
      <c r="I20" s="37" t="s">
        <v>83</v>
      </c>
      <c r="J20" s="2" t="s">
        <v>286</v>
      </c>
    </row>
    <row r="21" spans="1:10" ht="18" customHeight="1">
      <c r="A21" s="13"/>
      <c r="B21" s="6"/>
      <c r="C21" s="24"/>
      <c r="D21" s="4"/>
      <c r="E21" s="30"/>
      <c r="F21" s="7">
        <f t="shared" si="0"/>
        <v>0</v>
      </c>
      <c r="G21" s="5"/>
      <c r="H21" s="12">
        <f t="shared" si="1"/>
        <v>0</v>
      </c>
      <c r="I21" s="37"/>
      <c r="J21" s="2"/>
    </row>
    <row r="22" spans="1:10">
      <c r="A22"/>
      <c r="B22"/>
      <c r="C22"/>
      <c r="D22"/>
      <c r="E22" s="15" t="s">
        <v>62</v>
      </c>
      <c r="F22" s="8">
        <f>SUM(F10:F21)</f>
        <v>63.199860000000001</v>
      </c>
      <c r="G22" s="15" t="s">
        <v>61</v>
      </c>
      <c r="H22" s="8">
        <f>SUM(H10:H21)</f>
        <v>75.000000000000014</v>
      </c>
      <c r="I22"/>
      <c r="J22"/>
    </row>
    <row r="23" spans="1:10">
      <c r="F23" s="11"/>
    </row>
  </sheetData>
  <sheetProtection algorithmName="SHA-512" hashValue="Z1UhcOyx3NyWk+fc1PfZ9yCYyDs53sF2kjhER0OzFGGD+7OVsWm6hA+jCl0G5tT2qbaTCvHb86jlV9j9fF8NuA==" saltValue="IQUwIgGyywVxLDuG0J3avw=="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90</v>
      </c>
      <c r="E13" s="30">
        <f>1/( BatteryDuration* ESS_ILR)</f>
        <v>0.25</v>
      </c>
      <c r="F13" s="7">
        <f t="shared" si="0"/>
        <v>22.5</v>
      </c>
      <c r="G13" s="5"/>
      <c r="H13" s="12">
        <f t="shared" si="1"/>
        <v>22.5</v>
      </c>
      <c r="I13" s="37"/>
      <c r="J13" s="2" t="s">
        <v>127</v>
      </c>
    </row>
    <row r="14" spans="1:15" ht="18" customHeight="1">
      <c r="A14" s="13" t="s">
        <v>96</v>
      </c>
      <c r="B14" s="6">
        <v>2200000</v>
      </c>
      <c r="C14" s="28" t="s">
        <v>97</v>
      </c>
      <c r="D14" s="4">
        <v>34</v>
      </c>
      <c r="E14" s="30">
        <f xml:space="preserve"> ESSLabor</f>
        <v>0.22</v>
      </c>
      <c r="F14" s="7">
        <f t="shared" si="0"/>
        <v>9.68</v>
      </c>
      <c r="G14" s="5"/>
      <c r="H14" s="12">
        <f t="shared" si="1"/>
        <v>9.68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176.54937500000003</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zjPRsK2o0fWQFAfRgk6w3c/et8kbzyFO+s8N2njFwPPgf3zGS9YfQ3+6lAkvB8/o/NGjix7V4vcIGPmR6NdewQ==" saltValue="2+b2EyltII0OznhUVZY5HQ=="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2605.1499999999996</v>
      </c>
      <c r="B3" s="13" t="s">
        <v>91</v>
      </c>
      <c r="C3"/>
      <c r="D3"/>
      <c r="E3"/>
      <c r="F3"/>
      <c r="G3"/>
      <c r="H3" s="17"/>
      <c r="I3" t="s">
        <v>10</v>
      </c>
      <c r="J3"/>
    </row>
    <row r="4" spans="1:15" ht="18" customHeight="1">
      <c r="A4"/>
      <c r="B4"/>
      <c r="C4"/>
      <c r="D4"/>
      <c r="E4"/>
      <c r="F4"/>
      <c r="G4"/>
      <c r="H4" s="18"/>
      <c r="I4" t="s">
        <v>43</v>
      </c>
      <c r="J4"/>
    </row>
    <row r="5" spans="1:15" ht="18" customHeight="1">
      <c r="A5" s="70" t="s">
        <v>287</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c r="A11" s="13" t="s">
        <v>135</v>
      </c>
      <c r="B11" s="6"/>
      <c r="C11" s="28" t="s">
        <v>136</v>
      </c>
      <c r="D11" s="4">
        <v>200</v>
      </c>
      <c r="E11" s="30">
        <f>PiersPerRow/(RowLength*ModuleHeight)</f>
        <v>3.3622353118457966E-2</v>
      </c>
      <c r="F11" s="7">
        <f t="shared" si="0"/>
        <v>6.7244706236915937</v>
      </c>
      <c r="G11" s="5"/>
      <c r="H11" s="12">
        <f t="shared" si="1"/>
        <v>6.7244706236915937</v>
      </c>
      <c r="I11" s="61"/>
      <c r="J11" s="2" t="s">
        <v>137</v>
      </c>
    </row>
    <row r="12" spans="1:15" ht="18" customHeight="1">
      <c r="A12" s="13" t="s">
        <v>138</v>
      </c>
      <c r="B12" s="6"/>
      <c r="C12" s="28" t="s">
        <v>89</v>
      </c>
      <c r="D12" s="4">
        <v>2.1</v>
      </c>
      <c r="E12" s="30">
        <f>1/ModuleWidth</f>
        <v>0.51440329218106995</v>
      </c>
      <c r="F12" s="7">
        <f t="shared" si="0"/>
        <v>1.080246913580247</v>
      </c>
      <c r="G12" s="67">
        <f>D12*(1+Tariff301)</f>
        <v>2.625</v>
      </c>
      <c r="H12" s="12">
        <f t="shared" si="1"/>
        <v>1.3503086419753085</v>
      </c>
      <c r="I12" s="61"/>
      <c r="J12" s="2" t="s">
        <v>139</v>
      </c>
    </row>
    <row r="13" spans="1:15" ht="18" customHeight="1">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c r="A14" s="13" t="s">
        <v>109</v>
      </c>
      <c r="B14" s="6"/>
      <c r="C14" s="28" t="s">
        <v>110</v>
      </c>
      <c r="D14" s="4">
        <v>0.6</v>
      </c>
      <c r="E14" s="30">
        <f>IncludeIndirect*SBOSshippingWeight</f>
        <v>10</v>
      </c>
      <c r="F14" s="7">
        <f t="shared" si="0"/>
        <v>6</v>
      </c>
      <c r="G14" s="5"/>
      <c r="H14" s="12">
        <f t="shared" si="1"/>
        <v>6</v>
      </c>
      <c r="I14" s="61" t="s">
        <v>83</v>
      </c>
      <c r="J14" s="2"/>
    </row>
    <row r="15" spans="1:15" ht="18" customHeight="1">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c r="A16" s="13"/>
      <c r="B16" s="6"/>
      <c r="C16" s="28"/>
      <c r="D16" s="4"/>
      <c r="E16" s="30"/>
      <c r="F16" s="7">
        <f t="shared" si="0"/>
        <v>0</v>
      </c>
      <c r="G16" s="5"/>
      <c r="H16" s="12">
        <f t="shared" si="1"/>
        <v>0</v>
      </c>
      <c r="I16" s="61"/>
      <c r="J16" s="2"/>
    </row>
    <row r="17" spans="1:10" ht="18" customHeight="1">
      <c r="A17" s="13"/>
      <c r="B17" s="6"/>
      <c r="C17" s="28"/>
      <c r="D17" s="4"/>
      <c r="E17" s="30"/>
      <c r="F17" s="7">
        <f t="shared" si="0"/>
        <v>0</v>
      </c>
      <c r="G17" s="5"/>
      <c r="H17" s="12">
        <f t="shared" si="1"/>
        <v>0</v>
      </c>
      <c r="I17" s="61"/>
      <c r="J17" s="2"/>
    </row>
    <row r="18" spans="1:10" ht="18" customHeight="1">
      <c r="A18" s="13"/>
      <c r="B18" s="6"/>
      <c r="C18" s="29"/>
      <c r="D18" s="4"/>
      <c r="E18" s="30"/>
      <c r="F18" s="7">
        <f t="shared" si="0"/>
        <v>0</v>
      </c>
      <c r="G18" s="5"/>
      <c r="H18" s="12">
        <f t="shared" si="1"/>
        <v>0</v>
      </c>
      <c r="I18" s="61"/>
      <c r="J18" s="2"/>
    </row>
    <row r="19" spans="1:10" ht="18" customHeight="1">
      <c r="A19" s="13"/>
      <c r="B19" s="6"/>
      <c r="C19" s="29"/>
      <c r="D19" s="4"/>
      <c r="E19" s="30"/>
      <c r="F19" s="7">
        <f t="shared" si="0"/>
        <v>0</v>
      </c>
      <c r="G19" s="5"/>
      <c r="H19" s="12">
        <f t="shared" si="1"/>
        <v>0</v>
      </c>
      <c r="I19" s="61"/>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28.994717537271843</v>
      </c>
      <c r="G22" s="15" t="s">
        <v>61</v>
      </c>
      <c r="H22" s="8">
        <f>SUM(H10:H21)</f>
        <v>29.374779265666906</v>
      </c>
      <c r="I22"/>
      <c r="J22"/>
    </row>
    <row r="23" spans="1:10">
      <c r="F23" s="11"/>
    </row>
  </sheetData>
  <sheetProtection algorithmName="SHA-512" hashValue="U22IuZgjVdNJn65+/WHQ4e/CUCf2brT/YZiK/YC/CZyVyPKuVT7t9rijN1IeQgyNmZBNtlpBWJDkjBBrMrFUAw==" saltValue="lgCQxp+vLuljbtREK/DNTg=="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380.31386861313865</v>
      </c>
      <c r="B3" s="13" t="s">
        <v>74</v>
      </c>
      <c r="C3"/>
      <c r="D3"/>
      <c r="E3"/>
      <c r="F3"/>
      <c r="G3"/>
      <c r="H3" s="17"/>
      <c r="I3" t="s">
        <v>10</v>
      </c>
      <c r="J3"/>
    </row>
    <row r="4" spans="1:15" ht="18" customHeight="1">
      <c r="A4"/>
      <c r="B4"/>
      <c r="C4"/>
      <c r="D4"/>
      <c r="E4"/>
      <c r="F4"/>
      <c r="G4"/>
      <c r="H4" s="18"/>
      <c r="I4" t="s">
        <v>43</v>
      </c>
      <c r="J4"/>
    </row>
    <row r="5" spans="1:15" ht="18" customHeight="1">
      <c r="A5" s="70" t="s">
        <v>291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c r="A11" s="13" t="s">
        <v>293</v>
      </c>
      <c r="B11" s="6"/>
      <c r="C11" s="28" t="s">
        <v>74</v>
      </c>
      <c r="D11" s="4">
        <v>30</v>
      </c>
      <c r="E11" s="30">
        <v>1</v>
      </c>
      <c r="F11" s="7">
        <f t="shared" si="0"/>
        <v>30</v>
      </c>
      <c r="G11" s="67">
        <f>D11*(1+Tariff301)</f>
        <v>37.5</v>
      </c>
      <c r="H11" s="12">
        <f t="shared" si="1"/>
        <v>37.5</v>
      </c>
      <c r="I11" s="37"/>
      <c r="J11" s="2" t="s">
        <v>294</v>
      </c>
    </row>
    <row r="12" spans="1:15" ht="18" customHeight="1">
      <c r="A12" s="13" t="s">
        <v>145</v>
      </c>
      <c r="B12" s="6"/>
      <c r="C12" s="28" t="s">
        <v>74</v>
      </c>
      <c r="D12" s="4">
        <v>60</v>
      </c>
      <c r="E12" s="30">
        <v>1</v>
      </c>
      <c r="F12" s="7">
        <f t="shared" si="0"/>
        <v>60</v>
      </c>
      <c r="G12" s="5"/>
      <c r="H12" s="12">
        <f t="shared" si="1"/>
        <v>60</v>
      </c>
      <c r="I12" s="37"/>
      <c r="J12" s="2" t="s">
        <v>295</v>
      </c>
    </row>
    <row r="13" spans="1:15" ht="18" customHeight="1">
      <c r="A13" s="13" t="s">
        <v>147</v>
      </c>
      <c r="B13" s="6"/>
      <c r="C13" s="28" t="s">
        <v>74</v>
      </c>
      <c r="D13" s="4">
        <v>25</v>
      </c>
      <c r="E13" s="30">
        <v>1</v>
      </c>
      <c r="F13" s="7">
        <f t="shared" si="0"/>
        <v>25</v>
      </c>
      <c r="G13" s="5"/>
      <c r="H13" s="12">
        <f t="shared" si="1"/>
        <v>25</v>
      </c>
      <c r="I13" s="37"/>
      <c r="J13" s="2" t="s">
        <v>296</v>
      </c>
    </row>
    <row r="14" spans="1:15" ht="18" customHeight="1">
      <c r="A14" s="13" t="s">
        <v>146</v>
      </c>
      <c r="B14" s="6"/>
      <c r="C14" s="28" t="s">
        <v>74</v>
      </c>
      <c r="D14" s="4">
        <v>30</v>
      </c>
      <c r="E14" s="30">
        <v>1</v>
      </c>
      <c r="F14" s="7">
        <f t="shared" si="0"/>
        <v>30</v>
      </c>
      <c r="G14" s="67">
        <f>D14*(1+Tariff301)</f>
        <v>37.5</v>
      </c>
      <c r="H14" s="12">
        <f t="shared" si="1"/>
        <v>37.5</v>
      </c>
      <c r="I14" s="37"/>
      <c r="J14" s="2" t="s">
        <v>297</v>
      </c>
    </row>
    <row r="15" spans="1:15" ht="18" customHeight="1">
      <c r="A15" s="13" t="s">
        <v>298</v>
      </c>
      <c r="B15" s="6"/>
      <c r="C15" s="28" t="s">
        <v>74</v>
      </c>
      <c r="D15" s="4">
        <v>15</v>
      </c>
      <c r="E15" s="30">
        <f>IncludeIndirect*1</f>
        <v>1</v>
      </c>
      <c r="F15" s="7">
        <f t="shared" si="0"/>
        <v>15</v>
      </c>
      <c r="G15" s="5"/>
      <c r="H15" s="12">
        <f t="shared" si="1"/>
        <v>15</v>
      </c>
      <c r="I15" s="37" t="s">
        <v>83</v>
      </c>
      <c r="J15" s="2"/>
    </row>
    <row r="16" spans="1:15" ht="18" customHeight="1">
      <c r="A16" s="13" t="s">
        <v>109</v>
      </c>
      <c r="B16" s="6"/>
      <c r="C16" s="28" t="s">
        <v>110</v>
      </c>
      <c r="D16" s="4">
        <v>0.5</v>
      </c>
      <c r="E16" s="30">
        <f>IncludeIndirect*EBOSweight</f>
        <v>2</v>
      </c>
      <c r="F16" s="7">
        <f t="shared" si="0"/>
        <v>1</v>
      </c>
      <c r="G16" s="5"/>
      <c r="H16" s="12">
        <f t="shared" si="1"/>
        <v>1</v>
      </c>
      <c r="I16" s="37" t="s">
        <v>83</v>
      </c>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4"/>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251</v>
      </c>
      <c r="G22" s="15" t="s">
        <v>61</v>
      </c>
      <c r="H22" s="8">
        <f>SUM(H10:H21)</f>
        <v>266</v>
      </c>
      <c r="I22"/>
      <c r="J22"/>
    </row>
    <row r="23" spans="1:10">
      <c r="F23" s="11"/>
    </row>
    <row r="26" spans="1:10">
      <c r="A26"/>
      <c r="B26"/>
      <c r="C26"/>
      <c r="D26"/>
      <c r="E26"/>
      <c r="F26"/>
      <c r="G26"/>
      <c r="H26"/>
    </row>
    <row r="27" spans="1:10">
      <c r="A27"/>
      <c r="B27"/>
      <c r="C27"/>
      <c r="D27"/>
      <c r="E27"/>
      <c r="F27"/>
      <c r="G27"/>
      <c r="H27"/>
    </row>
  </sheetData>
  <sheetProtection algorithmName="SHA-512" hashValue="vXlsooR4eskvl5YD0WbD/1n5u/CJ4hCGAFrJbE6tbzZvR8fUKTMmBimIZae849lL1B2iCCSsYQYrBrazYcwICA==" saltValue="dNxfVhP/e5ulUHgwLd4kow=="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2605.1499999999996</v>
      </c>
      <c r="B3" s="13" t="s">
        <v>91</v>
      </c>
      <c r="C3"/>
      <c r="D3"/>
      <c r="E3"/>
      <c r="F3"/>
      <c r="G3"/>
      <c r="H3" s="17"/>
      <c r="I3" t="s">
        <v>10</v>
      </c>
      <c r="J3"/>
    </row>
    <row r="4" spans="1:15" ht="18" customHeight="1">
      <c r="A4"/>
      <c r="B4"/>
      <c r="C4"/>
      <c r="D4"/>
      <c r="E4"/>
      <c r="F4"/>
      <c r="G4"/>
      <c r="H4" s="18"/>
      <c r="I4" t="s">
        <v>43</v>
      </c>
      <c r="J4"/>
    </row>
    <row r="5" spans="1:15" ht="18" customHeight="1">
      <c r="A5" s="70" t="s">
        <v>299</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c r="A13" s="13" t="s">
        <v>154</v>
      </c>
      <c r="B13" s="6">
        <v>3500</v>
      </c>
      <c r="C13" s="28" t="s">
        <v>91</v>
      </c>
      <c r="D13" s="4">
        <v>8</v>
      </c>
      <c r="E13" s="30">
        <f>IncludeIndirect*1</f>
        <v>1</v>
      </c>
      <c r="F13" s="7">
        <f t="shared" si="0"/>
        <v>9.3434926971575543</v>
      </c>
      <c r="G13" s="5"/>
      <c r="H13" s="12">
        <f t="shared" si="1"/>
        <v>9.3434926971575543</v>
      </c>
      <c r="I13" s="37" t="s">
        <v>83</v>
      </c>
      <c r="J13" s="2" t="s">
        <v>300</v>
      </c>
    </row>
    <row r="14" spans="1:15" ht="18" customHeight="1">
      <c r="A14" s="13" t="s">
        <v>155</v>
      </c>
      <c r="B14" s="6"/>
      <c r="C14" s="28" t="s">
        <v>91</v>
      </c>
      <c r="D14" s="4">
        <v>11</v>
      </c>
      <c r="E14" s="30">
        <f>IncludeIndirect*1</f>
        <v>1</v>
      </c>
      <c r="F14" s="7">
        <f t="shared" si="0"/>
        <v>11</v>
      </c>
      <c r="G14" s="5"/>
      <c r="H14" s="12">
        <f t="shared" si="1"/>
        <v>11</v>
      </c>
      <c r="I14" s="37" t="s">
        <v>83</v>
      </c>
      <c r="J14" s="2" t="s">
        <v>156</v>
      </c>
    </row>
    <row r="15" spans="1:15" ht="18" customHeight="1">
      <c r="A15" s="13" t="s">
        <v>157</v>
      </c>
      <c r="B15" s="6">
        <v>10000</v>
      </c>
      <c r="C15" s="28"/>
      <c r="D15" s="4"/>
      <c r="E15" s="30"/>
      <c r="F15" s="7">
        <f t="shared" si="0"/>
        <v>3.8385505633072956</v>
      </c>
      <c r="G15" s="4"/>
      <c r="H15" s="12">
        <f t="shared" si="1"/>
        <v>3.8385505633072956</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72.715143260464856</v>
      </c>
      <c r="G22" s="15" t="s">
        <v>61</v>
      </c>
      <c r="H22" s="8">
        <f>SUM(H10:H21)</f>
        <v>76.696043260464847</v>
      </c>
      <c r="I22"/>
      <c r="J22"/>
    </row>
    <row r="23" spans="1:10">
      <c r="F23" s="11"/>
    </row>
  </sheetData>
  <sheetProtection algorithmName="SHA-512" hashValue="2DBOSnmPA3JhNzOSJB3mH/aw2lOGIy8UVvDYAQVMHcH9udTFlYgoy4L88qDwiJ3jRBqm3AEDda6ez9jM85J/0Q==" saltValue="byfJ3NJzm0PPG25zxf30hA=="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521.03</v>
      </c>
      <c r="B3" s="13" t="str">
        <f>SystemUnit</f>
        <v>kWdc</v>
      </c>
      <c r="C3"/>
      <c r="D3"/>
      <c r="E3"/>
      <c r="F3"/>
      <c r="G3"/>
      <c r="H3" s="17"/>
      <c r="I3" t="s">
        <v>10</v>
      </c>
      <c r="J3"/>
    </row>
    <row r="4" spans="1:15" ht="18" customHeight="1">
      <c r="A4"/>
      <c r="B4"/>
      <c r="C4"/>
      <c r="D4"/>
      <c r="E4"/>
      <c r="F4"/>
      <c r="G4"/>
      <c r="H4" s="18"/>
      <c r="I4" t="s">
        <v>43</v>
      </c>
      <c r="J4"/>
    </row>
    <row r="5" spans="1:15" ht="18" customHeight="1">
      <c r="A5" s="70" t="s">
        <v>301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c r="A11" s="13" t="s">
        <v>161</v>
      </c>
      <c r="B11" s="6"/>
      <c r="C11" s="28" t="s">
        <v>110</v>
      </c>
      <c r="D11" s="4">
        <v>0.4</v>
      </c>
      <c r="E11" s="30">
        <f>ModuleWeight/ModuleEfficiency</f>
        <v>57.5</v>
      </c>
      <c r="F11" s="7">
        <f t="shared" si="0"/>
        <v>23</v>
      </c>
      <c r="G11" s="5"/>
      <c r="H11" s="12">
        <f t="shared" si="1"/>
        <v>23</v>
      </c>
      <c r="I11" s="37"/>
      <c r="J11" s="2"/>
    </row>
    <row r="12" spans="1:15" ht="18" customHeight="1">
      <c r="A12" s="13" t="s">
        <v>162</v>
      </c>
      <c r="B12" s="6">
        <v>70000</v>
      </c>
      <c r="C12" s="28" t="s">
        <v>91</v>
      </c>
      <c r="D12" s="4">
        <v>5</v>
      </c>
      <c r="E12" s="30">
        <f>1/ModuleEfficiency</f>
        <v>5</v>
      </c>
      <c r="F12" s="7">
        <f t="shared" si="0"/>
        <v>159.34926971575533</v>
      </c>
      <c r="G12" s="5"/>
      <c r="H12" s="12">
        <f t="shared" si="1"/>
        <v>159.34926971575533</v>
      </c>
      <c r="I12" s="37"/>
      <c r="J12" s="2" t="s">
        <v>302</v>
      </c>
    </row>
    <row r="13" spans="1:15" ht="18" customHeight="1">
      <c r="A13" s="13" t="s">
        <v>163</v>
      </c>
      <c r="B13" s="6">
        <v>25000</v>
      </c>
      <c r="C13" s="28"/>
      <c r="D13" s="4"/>
      <c r="E13" s="30"/>
      <c r="F13" s="7">
        <f t="shared" si="0"/>
        <v>47.981882041341194</v>
      </c>
      <c r="G13" s="5"/>
      <c r="H13" s="12">
        <f t="shared" si="1"/>
        <v>47.981882041341194</v>
      </c>
      <c r="I13" s="37"/>
      <c r="J13" s="2" t="s">
        <v>164</v>
      </c>
    </row>
    <row r="14" spans="1:15" ht="18" customHeight="1">
      <c r="A14" s="13" t="s">
        <v>303</v>
      </c>
      <c r="B14" s="6">
        <v>30000</v>
      </c>
      <c r="C14" s="28" t="s">
        <v>22</v>
      </c>
      <c r="D14" s="4">
        <v>60</v>
      </c>
      <c r="E14" s="30">
        <v>1</v>
      </c>
      <c r="F14" s="7">
        <f t="shared" si="0"/>
        <v>117.57825844960942</v>
      </c>
      <c r="G14" s="5"/>
      <c r="H14" s="12">
        <f t="shared" si="1"/>
        <v>117.57825844960942</v>
      </c>
      <c r="I14" s="37"/>
      <c r="J14" s="2" t="s">
        <v>304</v>
      </c>
    </row>
    <row r="15" spans="1:15" ht="18" customHeight="1">
      <c r="A15" s="13"/>
      <c r="B15" s="6"/>
      <c r="C15" s="28"/>
      <c r="D15" s="4"/>
      <c r="E15" s="30"/>
      <c r="F15" s="7">
        <f t="shared" si="0"/>
        <v>0</v>
      </c>
      <c r="G15" s="4"/>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355.40941020670596</v>
      </c>
      <c r="G22" s="15" t="s">
        <v>61</v>
      </c>
      <c r="H22" s="8">
        <f>SUM(H10:H21)</f>
        <v>362.90941020670596</v>
      </c>
      <c r="I22"/>
      <c r="J22"/>
    </row>
    <row r="23" spans="1:10">
      <c r="F23" s="11"/>
    </row>
  </sheetData>
  <sheetProtection algorithmName="SHA-512" hashValue="DTC0cJqRpw34cCx/ysgl+fomsF3QNhMxqWbhNfvf9qw1FyJAH/Akp2G39VyA4GXpHWHoJAT3DejqUSGYGA9LoQ==" saltValue="A1YOP4lu4W5cKeFMJDiitg=="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100000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35.099398948562254</v>
      </c>
      <c r="E10" s="30">
        <v>1</v>
      </c>
      <c r="F10" s="7">
        <f t="shared" ref="F10:F21" si="0">($B10/$A$3+$E10*$D10)*includerow($I10,IncludeESS,IncludeIndirect)</f>
        <v>35.099398948562254</v>
      </c>
      <c r="G10" s="67">
        <f>B10/$A$3+(SysModuleMMP+SysInverterMMP+SysESSMMP+SysSBOSMMP+SysEBOSMMP)*SalesTaxRate</f>
        <v>42.443182337408373</v>
      </c>
      <c r="H10" s="12">
        <f t="shared" ref="H10:H21" si="1">IF($G10&lt;&gt;0,$G10*$E10*includerow($I10,IncludeESS,IncludeIndirect),($B10/$A$3+$D10*$E10)*includerow($I10,IncludeESS,IncludeIndirect))</f>
        <v>42.443182337408373</v>
      </c>
      <c r="I10" s="37"/>
      <c r="J10" s="2" t="s">
        <v>167</v>
      </c>
    </row>
    <row r="11" spans="1:15" ht="18" customHeight="1">
      <c r="A11" s="13" t="s">
        <v>168</v>
      </c>
      <c r="B11" s="6"/>
      <c r="C11" s="28" t="s">
        <v>22</v>
      </c>
      <c r="D11" s="66">
        <f>(SysModuleMSP+SysInverterMSP+SysESSMSP+SysSBOSMSP+SysEBOSMSP+SysFieldworkMSP+SysOfficeworkMSP)*ContingencyRate</f>
        <v>66.20735886731552</v>
      </c>
      <c r="E11" s="30">
        <v>1</v>
      </c>
      <c r="F11" s="7">
        <f t="shared" si="0"/>
        <v>66.20735886731552</v>
      </c>
      <c r="G11" s="67">
        <f>B11/$A$3+(SysModuleMMP+SysInverterMMP+SysESSMMP+SysSBOSMMP+SysEBOSMMP+SysFieldworkMMP+SysOfficeworkMMP)*ContingencyRate</f>
        <v>73.908431616320811</v>
      </c>
      <c r="H11" s="12">
        <f t="shared" si="1"/>
        <v>73.908431616320811</v>
      </c>
      <c r="I11" s="37"/>
      <c r="J11" s="2" t="s">
        <v>169</v>
      </c>
    </row>
    <row r="12" spans="1:15" ht="18" customHeight="1">
      <c r="A12" s="13" t="s">
        <v>170</v>
      </c>
      <c r="B12" s="6">
        <v>1000000</v>
      </c>
      <c r="C12" s="28" t="s">
        <v>22</v>
      </c>
      <c r="D12" s="66">
        <f>(SysModuleMSP+SysInverterMSP+SysESSMSP+SysSBOSMSP+SysEBOSMSP+SysFieldworkMSP+SysOfficeworkMSP)*OverheadRate</f>
        <v>13.241471773463104</v>
      </c>
      <c r="E12" s="30">
        <v>1</v>
      </c>
      <c r="F12" s="7">
        <f t="shared" si="0"/>
        <v>23.241471773463104</v>
      </c>
      <c r="G12" s="67">
        <f>B12/$A$3+(SysModuleMMP+SysInverterMMP+SysESSMMP+SysSBOSMMP+SysEBOSMMP+SysFieldworkMMP+SysOfficeworkMMP)*OverheadRate</f>
        <v>24.781686323264161</v>
      </c>
      <c r="H12" s="12">
        <f t="shared" si="1"/>
        <v>24.781686323264161</v>
      </c>
      <c r="I12" s="37"/>
      <c r="J12" s="2" t="s">
        <v>171</v>
      </c>
    </row>
    <row r="13" spans="1:15" ht="18" customHeight="1">
      <c r="A13" s="13" t="s">
        <v>107</v>
      </c>
      <c r="B13" s="6"/>
      <c r="C13" s="28" t="s">
        <v>22</v>
      </c>
      <c r="D13" s="66">
        <f>( SysModuleMSP+ SysInverterMSP+ SysESSMSP+ SysSBOSMSP+ SysEBOSMSP+ SysFieldworkMSP+ SysOfficeworkMSP+SUM(F10:F12))* DeveloperProfitMSP</f>
        <v>115.89563255485211</v>
      </c>
      <c r="E13" s="30">
        <v>1</v>
      </c>
      <c r="F13" s="7">
        <f t="shared" si="0"/>
        <v>115.89563255485211</v>
      </c>
      <c r="G13" s="67">
        <f>B13/$A$3+(SysModuleMMP+SysInverterMMP+SysESSMMP+SysSBOSMMP+SysEBOSMMP+SysFieldworkMMP+SysOfficeworkMMP+SUM(H10:H12))*DeveloperProfitMMP</f>
        <v>129.54415460827278</v>
      </c>
      <c r="H13" s="12">
        <f t="shared" si="1"/>
        <v>129.54415460827278</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240.44386214419299</v>
      </c>
      <c r="G22" s="15" t="s">
        <v>61</v>
      </c>
      <c r="H22" s="8">
        <f>SUM(H10:H21)</f>
        <v>270.67745488526612</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rJvi62eEHr2cFtfTB+eT1vMzogKPBSMcAm1ZA+A8xta+LLh4ikRaQn6McAZNo2pkqJyotYu+w1VybGcRfzH92g==" saltValue="tLrLnNHcgjZZ5IsVhUX0hw=="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f>SystemSize</f>
        <v>521.03</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c r="A12" s="13" t="s">
        <v>177</v>
      </c>
      <c r="B12" s="6"/>
      <c r="C12" s="28" t="s">
        <v>91</v>
      </c>
      <c r="D12" s="66">
        <f>SysSBOSMSP</f>
        <v>144.97358768635922</v>
      </c>
      <c r="E12" s="30">
        <f>PartsLossRate/ModuleEfficiency</f>
        <v>0.01</v>
      </c>
      <c r="F12" s="7">
        <f t="shared" si="0"/>
        <v>1.4497358768635922</v>
      </c>
      <c r="G12" s="5"/>
      <c r="H12" s="12">
        <f t="shared" si="1"/>
        <v>1.4497358768635922</v>
      </c>
      <c r="I12" s="37"/>
      <c r="J12" s="2" t="s">
        <v>178</v>
      </c>
    </row>
    <row r="13" spans="1:15" ht="18" customHeight="1">
      <c r="A13" s="13" t="s">
        <v>179</v>
      </c>
      <c r="B13" s="6"/>
      <c r="C13" s="28" t="s">
        <v>22</v>
      </c>
      <c r="D13" s="66">
        <f>SysModuleMSP</f>
        <v>230.84549964727131</v>
      </c>
      <c r="E13" s="30">
        <f>ModuleLossRate</f>
        <v>1E-3</v>
      </c>
      <c r="F13" s="7">
        <f t="shared" si="0"/>
        <v>0.2308454996472713</v>
      </c>
      <c r="G13" s="5"/>
      <c r="H13" s="12">
        <f t="shared" si="1"/>
        <v>0.2308454996472713</v>
      </c>
      <c r="I13" s="37"/>
      <c r="J13" s="2" t="s">
        <v>180</v>
      </c>
    </row>
    <row r="14" spans="1:15" ht="18" customHeight="1">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c r="A17" s="13" t="s">
        <v>187</v>
      </c>
      <c r="B17" s="6"/>
      <c r="C17" s="28" t="s">
        <v>188</v>
      </c>
      <c r="D17" s="66">
        <f>SystemMSP*PropertyTaxRate</f>
        <v>3.1291820789810068</v>
      </c>
      <c r="E17" s="30">
        <f>IncludeIndirect*1</f>
        <v>1</v>
      </c>
      <c r="F17" s="7">
        <f t="shared" si="0"/>
        <v>3.1291820789810068</v>
      </c>
      <c r="G17" s="4"/>
      <c r="H17" s="12">
        <f t="shared" si="1"/>
        <v>3.1291820789810068</v>
      </c>
      <c r="I17" s="37" t="s">
        <v>83</v>
      </c>
      <c r="J17" s="2" t="s">
        <v>189</v>
      </c>
    </row>
    <row r="18" spans="1:10" ht="18" customHeight="1">
      <c r="A18" s="13" t="s">
        <v>190</v>
      </c>
      <c r="B18" s="6"/>
      <c r="C18" s="29" t="s">
        <v>188</v>
      </c>
      <c r="D18" s="66">
        <f>SystemMSP*InsuranceRate</f>
        <v>3.9114775987262584</v>
      </c>
      <c r="E18" s="30">
        <f>IncludeIndirect*1</f>
        <v>1</v>
      </c>
      <c r="F18" s="7">
        <f t="shared" si="0"/>
        <v>3.9114775987262584</v>
      </c>
      <c r="G18" s="4"/>
      <c r="H18" s="12">
        <f t="shared" si="1"/>
        <v>3.9114775987262584</v>
      </c>
      <c r="I18" s="37" t="s">
        <v>83</v>
      </c>
      <c r="J18" s="2" t="s">
        <v>305</v>
      </c>
    </row>
    <row r="19" spans="1:10" ht="18" customHeight="1">
      <c r="A19" s="13" t="s">
        <v>170</v>
      </c>
      <c r="B19" s="6">
        <v>8853.3033333333296</v>
      </c>
      <c r="C19" s="29"/>
      <c r="D19" s="4"/>
      <c r="E19" s="30"/>
      <c r="F19" s="7">
        <f t="shared" si="0"/>
        <v>16.991926248648504</v>
      </c>
      <c r="G19" s="4"/>
      <c r="H19" s="12">
        <f t="shared" si="1"/>
        <v>16.991926248648504</v>
      </c>
      <c r="I19" s="37" t="s">
        <v>83</v>
      </c>
      <c r="J19" s="2" t="s">
        <v>306</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36.939222986884602</v>
      </c>
      <c r="G22" s="15" t="s">
        <v>61</v>
      </c>
      <c r="H22" s="8">
        <f>SUM(H10:H21)</f>
        <v>36.939222986884602</v>
      </c>
      <c r="I22"/>
      <c r="J22"/>
    </row>
    <row r="23" spans="1:10">
      <c r="F23" s="11"/>
    </row>
  </sheetData>
  <sheetProtection algorithmName="SHA-512" hashValue="WP75af+pNb8nTN3gcOEpmXIdoqgmRnJv3GXxtzfvwytWDnFxSNlX6UzwZ847SXPZKf56o1oG8qeHs2nVLQ2J+Q==" saltValue="zh94CxtmSd3UPDS9lW2f/Q=="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1.37</v>
      </c>
      <c r="D4" s="37" t="s">
        <v>193</v>
      </c>
      <c r="E4" s="59" t="str">
        <f>IF(A4&lt;&gt;"","/","")</f>
        <v>/</v>
      </c>
      <c r="F4" s="37" t="s">
        <v>192</v>
      </c>
      <c r="G4" s="58"/>
      <c r="H4" s="2" t="s">
        <v>307</v>
      </c>
    </row>
    <row r="5" spans="1:8">
      <c r="A5" s="13" t="s">
        <v>7</v>
      </c>
      <c r="B5" s="13" t="s">
        <v>194</v>
      </c>
      <c r="C5" s="2">
        <v>2</v>
      </c>
      <c r="D5" s="37" t="s">
        <v>73</v>
      </c>
      <c r="E5" s="59" t="str">
        <f t="shared" ref="E5:E16" si="0">IF(A5&lt;&gt;"","/","")</f>
        <v>/</v>
      </c>
      <c r="F5" s="37" t="s">
        <v>193</v>
      </c>
      <c r="G5" s="58"/>
      <c r="H5" s="2" t="s">
        <v>308</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3.7909999999999999</v>
      </c>
      <c r="D10" s="37" t="s">
        <v>89</v>
      </c>
      <c r="E10" s="59" t="str">
        <f t="shared" si="0"/>
        <v>/</v>
      </c>
      <c r="F10" s="37"/>
      <c r="G10" s="58"/>
      <c r="H10" s="2"/>
    </row>
    <row r="11" spans="1:8">
      <c r="A11" s="13" t="s">
        <v>1</v>
      </c>
      <c r="B11" s="13" t="s">
        <v>203</v>
      </c>
      <c r="C11" s="2">
        <v>1.944</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196</v>
      </c>
      <c r="G17" s="58"/>
      <c r="H17" s="2" t="s">
        <v>309</v>
      </c>
    </row>
    <row r="18" spans="1:8">
      <c r="A18" s="13" t="s">
        <v>1</v>
      </c>
      <c r="B18" s="13" t="s">
        <v>218</v>
      </c>
      <c r="C18" s="2">
        <v>336</v>
      </c>
      <c r="D18" s="37" t="s">
        <v>219</v>
      </c>
      <c r="E18" s="59" t="str">
        <f t="shared" ref="E18:E60" si="2">IF(A18&lt;&gt;"","/","")</f>
        <v>/</v>
      </c>
      <c r="F18" s="37" t="s">
        <v>22</v>
      </c>
      <c r="G18" s="58"/>
      <c r="H18" s="2" t="s">
        <v>310</v>
      </c>
    </row>
    <row r="19" spans="1:8">
      <c r="A19" s="13" t="s">
        <v>2</v>
      </c>
      <c r="B19" s="13" t="s">
        <v>220</v>
      </c>
      <c r="C19" s="2">
        <v>0.78900000000000003</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0.125</v>
      </c>
      <c r="D22" s="37" t="s">
        <v>214</v>
      </c>
      <c r="E22" s="59" t="str">
        <f t="shared" si="2"/>
        <v>/</v>
      </c>
      <c r="F22" s="37" t="s">
        <v>213</v>
      </c>
      <c r="G22" s="58"/>
      <c r="H22" s="2" t="s">
        <v>225</v>
      </c>
    </row>
    <row r="23" spans="1:8">
      <c r="A23" s="13" t="s">
        <v>2</v>
      </c>
      <c r="B23" s="13" t="s">
        <v>226</v>
      </c>
      <c r="C23" s="2">
        <v>0.15</v>
      </c>
      <c r="D23" s="37" t="s">
        <v>217</v>
      </c>
      <c r="E23" s="59" t="str">
        <f t="shared" si="2"/>
        <v>/</v>
      </c>
      <c r="F23" s="37" t="s">
        <v>196</v>
      </c>
      <c r="G23" s="58"/>
      <c r="H23" s="2" t="s">
        <v>311</v>
      </c>
    </row>
    <row r="24" spans="1:8">
      <c r="A24" s="13" t="s">
        <v>2</v>
      </c>
      <c r="B24" s="13" t="s">
        <v>227</v>
      </c>
      <c r="C24" s="2">
        <v>75</v>
      </c>
      <c r="D24" s="37" t="s">
        <v>219</v>
      </c>
      <c r="E24" s="59" t="str">
        <f t="shared" ref="E24:E55" si="3">IF(A24&lt;&gt;"","/","")</f>
        <v>/</v>
      </c>
      <c r="F24" s="37" t="s">
        <v>74</v>
      </c>
      <c r="G24" s="58"/>
      <c r="H24" s="2" t="s">
        <v>310</v>
      </c>
    </row>
    <row r="25" spans="1:8">
      <c r="A25" s="13" t="s">
        <v>17</v>
      </c>
      <c r="B25" s="13" t="s">
        <v>244</v>
      </c>
      <c r="C25" s="2">
        <v>0.2</v>
      </c>
      <c r="D25" s="37" t="s">
        <v>312</v>
      </c>
      <c r="E25" s="59" t="str">
        <f t="shared" si="3"/>
        <v>/</v>
      </c>
      <c r="F25" s="37" t="s">
        <v>201</v>
      </c>
      <c r="G25" s="58"/>
      <c r="H25" s="2"/>
    </row>
    <row r="26" spans="1:8">
      <c r="A26" s="13" t="s">
        <v>17</v>
      </c>
      <c r="B26" s="13" t="s">
        <v>245</v>
      </c>
      <c r="C26" s="2">
        <v>5.9</v>
      </c>
      <c r="D26" s="37" t="s">
        <v>243</v>
      </c>
      <c r="E26" s="59" t="str">
        <f t="shared" si="3"/>
        <v>/</v>
      </c>
      <c r="F26" s="37" t="s">
        <v>201</v>
      </c>
      <c r="G26" s="58"/>
      <c r="H26" s="2"/>
    </row>
    <row r="27" spans="1:8">
      <c r="A27" s="13" t="s">
        <v>17</v>
      </c>
      <c r="B27" s="13" t="s">
        <v>246</v>
      </c>
      <c r="C27" s="2">
        <v>10</v>
      </c>
      <c r="D27" s="37" t="s">
        <v>313</v>
      </c>
      <c r="E27" s="59" t="str">
        <f t="shared" si="3"/>
        <v>/</v>
      </c>
      <c r="F27" s="37" t="s">
        <v>201</v>
      </c>
      <c r="G27" s="58"/>
      <c r="H27" s="2"/>
    </row>
    <row r="28" spans="1:8">
      <c r="A28" s="13" t="s">
        <v>17</v>
      </c>
      <c r="B28" s="13" t="s">
        <v>247</v>
      </c>
      <c r="C28" s="2">
        <v>11</v>
      </c>
      <c r="D28" s="37" t="s">
        <v>248</v>
      </c>
      <c r="E28" s="59" t="str">
        <f t="shared" si="3"/>
        <v>/</v>
      </c>
      <c r="F28" s="37" t="s">
        <v>141</v>
      </c>
      <c r="G28" s="58"/>
      <c r="H28" s="2"/>
    </row>
    <row r="29" spans="1:8">
      <c r="A29" s="13" t="s">
        <v>17</v>
      </c>
      <c r="B29" s="13" t="s">
        <v>249</v>
      </c>
      <c r="C29" s="2">
        <v>86.3</v>
      </c>
      <c r="D29" s="37" t="s">
        <v>89</v>
      </c>
      <c r="E29" s="59" t="str">
        <f t="shared" si="3"/>
        <v>/</v>
      </c>
      <c r="F29" s="37"/>
      <c r="G29" s="58"/>
      <c r="H29" s="2"/>
    </row>
    <row r="30" spans="1:8">
      <c r="A30" s="13" t="s">
        <v>20</v>
      </c>
      <c r="B30" s="13" t="s">
        <v>250</v>
      </c>
      <c r="C30" s="2">
        <v>2</v>
      </c>
      <c r="D30" s="37" t="s">
        <v>251</v>
      </c>
      <c r="E30" s="59" t="str">
        <f t="shared" si="3"/>
        <v>/</v>
      </c>
      <c r="F30" s="37" t="s">
        <v>192</v>
      </c>
      <c r="G30" s="58"/>
      <c r="H30" s="2"/>
    </row>
    <row r="31" spans="1:8">
      <c r="A31" s="13" t="s">
        <v>23</v>
      </c>
      <c r="B31" s="13" t="s">
        <v>228</v>
      </c>
      <c r="C31" s="2">
        <v>10</v>
      </c>
      <c r="D31" s="37" t="s">
        <v>229</v>
      </c>
      <c r="E31" s="59" t="str">
        <f t="shared" si="3"/>
        <v>/</v>
      </c>
      <c r="F31" s="37" t="s">
        <v>73</v>
      </c>
      <c r="G31" s="58"/>
      <c r="H31" s="2" t="s">
        <v>230</v>
      </c>
    </row>
    <row r="32" spans="1:8">
      <c r="A32" s="13" t="s">
        <v>23</v>
      </c>
      <c r="B32" s="13" t="s">
        <v>231</v>
      </c>
      <c r="C32" s="2">
        <v>4</v>
      </c>
      <c r="D32" s="37" t="s">
        <v>73</v>
      </c>
      <c r="E32" s="59" t="str">
        <f t="shared" si="3"/>
        <v>/</v>
      </c>
      <c r="F32" s="37" t="s">
        <v>232</v>
      </c>
      <c r="G32" s="58"/>
      <c r="H32" s="2" t="s">
        <v>314</v>
      </c>
    </row>
    <row r="33" spans="1:8">
      <c r="A33" s="13" t="s">
        <v>23</v>
      </c>
      <c r="B33" s="13" t="s">
        <v>233</v>
      </c>
      <c r="C33" s="2">
        <v>1</v>
      </c>
      <c r="D33" s="37" t="s">
        <v>234</v>
      </c>
      <c r="E33" s="59" t="str">
        <f t="shared" ref="E33:E51" si="4">IF(A33&lt;&gt;"","/","")</f>
        <v>/</v>
      </c>
      <c r="F33" s="37" t="s">
        <v>232</v>
      </c>
      <c r="G33" s="58"/>
      <c r="H33" s="2" t="s">
        <v>315</v>
      </c>
    </row>
    <row r="34" spans="1:8">
      <c r="A34" s="13" t="s">
        <v>23</v>
      </c>
      <c r="B34" s="13" t="s">
        <v>235</v>
      </c>
      <c r="C34" s="2">
        <v>9.4</v>
      </c>
      <c r="D34" s="37" t="s">
        <v>236</v>
      </c>
      <c r="E34" s="59" t="str">
        <f t="shared" si="4"/>
        <v>/</v>
      </c>
      <c r="F34" s="37" t="s">
        <v>73</v>
      </c>
      <c r="G34" s="58"/>
      <c r="H34" s="2"/>
    </row>
    <row r="35" spans="1:8">
      <c r="A35" s="13" t="s">
        <v>23</v>
      </c>
      <c r="B35" s="13" t="s">
        <v>237</v>
      </c>
      <c r="C35" s="2">
        <v>0.22</v>
      </c>
      <c r="D35" s="37" t="s">
        <v>209</v>
      </c>
      <c r="E35" s="59" t="str">
        <f t="shared" si="4"/>
        <v>/</v>
      </c>
      <c r="F35" s="37" t="s">
        <v>73</v>
      </c>
      <c r="G35" s="58"/>
      <c r="H35" s="2"/>
    </row>
    <row r="36" spans="1:8">
      <c r="A36" s="13" t="s">
        <v>23</v>
      </c>
      <c r="B36" s="13" t="s">
        <v>238</v>
      </c>
      <c r="C36" s="2">
        <v>30.5</v>
      </c>
      <c r="D36" s="37" t="s">
        <v>211</v>
      </c>
      <c r="E36" s="59" t="str">
        <f t="shared" si="4"/>
        <v>/</v>
      </c>
      <c r="F36" s="37" t="s">
        <v>73</v>
      </c>
      <c r="G36" s="58"/>
      <c r="H36" s="2"/>
    </row>
    <row r="37" spans="1:8">
      <c r="A37" s="13" t="s">
        <v>23</v>
      </c>
      <c r="B37" s="13" t="s">
        <v>239</v>
      </c>
      <c r="C37" s="2">
        <v>0.11</v>
      </c>
      <c r="D37" s="37" t="s">
        <v>214</v>
      </c>
      <c r="E37" s="59" t="str">
        <f t="shared" si="4"/>
        <v>/</v>
      </c>
      <c r="F37" s="37" t="s">
        <v>213</v>
      </c>
      <c r="G37" s="58"/>
      <c r="H37" s="2" t="s">
        <v>240</v>
      </c>
    </row>
    <row r="38" spans="1:8">
      <c r="A38" s="13" t="s">
        <v>23</v>
      </c>
      <c r="B38" s="13" t="s">
        <v>241</v>
      </c>
      <c r="C38" s="2">
        <v>0.25</v>
      </c>
      <c r="D38" s="37" t="s">
        <v>217</v>
      </c>
      <c r="E38" s="59" t="str">
        <f t="shared" si="4"/>
        <v>/</v>
      </c>
      <c r="F38" s="37" t="s">
        <v>196</v>
      </c>
      <c r="G38" s="58"/>
      <c r="H38" s="2" t="s">
        <v>316</v>
      </c>
    </row>
    <row r="39" spans="1:8">
      <c r="A39" s="13" t="s">
        <v>23</v>
      </c>
      <c r="B39" s="13" t="s">
        <v>242</v>
      </c>
      <c r="C39" s="2">
        <v>228</v>
      </c>
      <c r="D39" s="37" t="s">
        <v>219</v>
      </c>
      <c r="E39" s="59" t="str">
        <f t="shared" si="4"/>
        <v>/</v>
      </c>
      <c r="F39" s="37" t="s">
        <v>73</v>
      </c>
      <c r="G39" s="58"/>
      <c r="H39" s="2" t="s">
        <v>310</v>
      </c>
    </row>
    <row r="40" spans="1:8">
      <c r="A40" s="13" t="s">
        <v>40</v>
      </c>
      <c r="B40" s="13" t="s">
        <v>252</v>
      </c>
      <c r="C40" s="2">
        <v>0.55000000000000004</v>
      </c>
      <c r="D40" s="37" t="s">
        <v>209</v>
      </c>
      <c r="E40" s="59" t="str">
        <f t="shared" si="4"/>
        <v>/</v>
      </c>
      <c r="F40" s="37" t="s">
        <v>201</v>
      </c>
      <c r="G40" s="58"/>
      <c r="H40" s="2" t="s">
        <v>317</v>
      </c>
    </row>
    <row r="41" spans="1:8">
      <c r="A41" s="13" t="s">
        <v>40</v>
      </c>
      <c r="B41" s="13" t="s">
        <v>253</v>
      </c>
      <c r="C41" s="2">
        <v>0.55000000000000004</v>
      </c>
      <c r="D41" s="37" t="s">
        <v>209</v>
      </c>
      <c r="E41" s="59" t="str">
        <f t="shared" si="4"/>
        <v>/</v>
      </c>
      <c r="F41" s="37" t="s">
        <v>201</v>
      </c>
      <c r="G41" s="58"/>
      <c r="H41" s="2" t="s">
        <v>317</v>
      </c>
    </row>
    <row r="42" spans="1:8">
      <c r="A42" s="13" t="s">
        <v>40</v>
      </c>
      <c r="B42" s="13" t="s">
        <v>254</v>
      </c>
      <c r="C42" s="2">
        <v>2.15</v>
      </c>
      <c r="D42" s="37" t="s">
        <v>209</v>
      </c>
      <c r="E42" s="59" t="str">
        <f t="shared" si="4"/>
        <v>/</v>
      </c>
      <c r="F42" s="37" t="s">
        <v>73</v>
      </c>
      <c r="G42" s="58"/>
      <c r="H42" s="2" t="s">
        <v>255</v>
      </c>
    </row>
    <row r="43" spans="1:8">
      <c r="A43" s="13" t="s">
        <v>40</v>
      </c>
      <c r="B43" s="13" t="s">
        <v>256</v>
      </c>
      <c r="C43" s="2">
        <v>0.54</v>
      </c>
      <c r="D43" s="37" t="s">
        <v>258</v>
      </c>
      <c r="E43" s="59" t="str">
        <f t="shared" si="4"/>
        <v>/</v>
      </c>
      <c r="F43" s="37" t="s">
        <v>257</v>
      </c>
      <c r="G43" s="58"/>
      <c r="H43" s="2" t="s">
        <v>259</v>
      </c>
    </row>
    <row r="44" spans="1:8">
      <c r="A44" s="13" t="s">
        <v>11</v>
      </c>
      <c r="B44" s="13" t="s">
        <v>260</v>
      </c>
      <c r="C44" s="2">
        <v>5.8000000000000003E-2</v>
      </c>
      <c r="D44" s="37" t="s">
        <v>261</v>
      </c>
      <c r="E44" s="59" t="str">
        <f t="shared" si="4"/>
        <v>/</v>
      </c>
      <c r="F44" s="37" t="s">
        <v>196</v>
      </c>
      <c r="G44" s="58"/>
      <c r="H44" s="2"/>
    </row>
    <row r="45" spans="1:8">
      <c r="A45" s="13" t="s">
        <v>11</v>
      </c>
      <c r="B45" s="13" t="s">
        <v>262</v>
      </c>
      <c r="C45" s="2">
        <v>0.05</v>
      </c>
      <c r="D45" s="37" t="s">
        <v>263</v>
      </c>
      <c r="E45" s="59" t="str">
        <f t="shared" si="4"/>
        <v>/</v>
      </c>
      <c r="F45" s="37" t="s">
        <v>196</v>
      </c>
      <c r="G45" s="58"/>
      <c r="H45" s="2"/>
    </row>
    <row r="46" spans="1:8">
      <c r="A46" s="13" t="s">
        <v>11</v>
      </c>
      <c r="B46" s="13" t="s">
        <v>264</v>
      </c>
      <c r="C46" s="2">
        <v>0.01</v>
      </c>
      <c r="D46" s="37" t="s">
        <v>265</v>
      </c>
      <c r="E46" s="59" t="str">
        <f t="shared" si="4"/>
        <v>/</v>
      </c>
      <c r="F46" s="37" t="s">
        <v>196</v>
      </c>
      <c r="G46" s="58"/>
      <c r="H46" s="2" t="s">
        <v>266</v>
      </c>
    </row>
    <row r="47" spans="1:8">
      <c r="A47" s="13" t="s">
        <v>11</v>
      </c>
      <c r="B47" s="13" t="s">
        <v>267</v>
      </c>
      <c r="C47" s="2">
        <v>0.08</v>
      </c>
      <c r="D47" s="37" t="s">
        <v>217</v>
      </c>
      <c r="E47" s="59" t="str">
        <f t="shared" si="4"/>
        <v>/</v>
      </c>
      <c r="F47" s="37" t="s">
        <v>196</v>
      </c>
      <c r="G47" s="58"/>
      <c r="H47" s="2"/>
    </row>
    <row r="48" spans="1:8">
      <c r="A48" s="13" t="s">
        <v>11</v>
      </c>
      <c r="B48" s="13" t="s">
        <v>268</v>
      </c>
      <c r="C48" s="2">
        <v>0.08</v>
      </c>
      <c r="D48" s="37" t="s">
        <v>217</v>
      </c>
      <c r="E48" s="59" t="str">
        <f t="shared" si="4"/>
        <v>/</v>
      </c>
      <c r="F48" s="37" t="s">
        <v>196</v>
      </c>
      <c r="G48" s="58"/>
      <c r="H48" s="2"/>
    </row>
    <row r="49" spans="1:8">
      <c r="A49" s="13" t="s">
        <v>18</v>
      </c>
      <c r="B49" s="13" t="s">
        <v>269</v>
      </c>
      <c r="C49" s="2">
        <v>2E-3</v>
      </c>
      <c r="D49" s="37" t="s">
        <v>271</v>
      </c>
      <c r="E49" s="59" t="str">
        <f t="shared" si="4"/>
        <v>/</v>
      </c>
      <c r="F49" s="37" t="s">
        <v>270</v>
      </c>
      <c r="G49" s="58"/>
      <c r="H49" s="2"/>
    </row>
    <row r="50" spans="1:8">
      <c r="A50" s="13" t="s">
        <v>18</v>
      </c>
      <c r="B50" s="13" t="s">
        <v>272</v>
      </c>
      <c r="C50" s="2">
        <v>0.09</v>
      </c>
      <c r="D50" s="37" t="s">
        <v>271</v>
      </c>
      <c r="E50" s="59" t="str">
        <f t="shared" si="4"/>
        <v>/</v>
      </c>
      <c r="F50" s="37" t="s">
        <v>270</v>
      </c>
      <c r="G50" s="58"/>
      <c r="H50" s="2"/>
    </row>
    <row r="51" spans="1:8">
      <c r="A51" s="13" t="s">
        <v>18</v>
      </c>
      <c r="B51" s="13" t="s">
        <v>273</v>
      </c>
      <c r="C51" s="2">
        <v>1E-3</v>
      </c>
      <c r="D51" s="37" t="s">
        <v>271</v>
      </c>
      <c r="E51" s="59" t="str">
        <f t="shared" si="4"/>
        <v>/</v>
      </c>
      <c r="F51" s="37" t="s">
        <v>270</v>
      </c>
      <c r="G51" s="58"/>
      <c r="H51" s="2"/>
    </row>
    <row r="52" spans="1:8">
      <c r="A52" s="13" t="s">
        <v>18</v>
      </c>
      <c r="B52" s="13" t="s">
        <v>274</v>
      </c>
      <c r="C52" s="2">
        <v>2.5000000000000001E-2</v>
      </c>
      <c r="D52" s="37" t="s">
        <v>271</v>
      </c>
      <c r="E52" s="59" t="str">
        <f t="shared" si="3"/>
        <v>/</v>
      </c>
      <c r="F52" s="37" t="s">
        <v>270</v>
      </c>
      <c r="G52" s="58"/>
      <c r="H52" s="2"/>
    </row>
    <row r="53" spans="1:8">
      <c r="A53" s="13" t="s">
        <v>18</v>
      </c>
      <c r="B53" s="13" t="s">
        <v>275</v>
      </c>
      <c r="C53" s="2">
        <v>3000</v>
      </c>
      <c r="D53" s="37" t="s">
        <v>201</v>
      </c>
      <c r="E53" s="59" t="str">
        <f t="shared" si="3"/>
        <v>/</v>
      </c>
      <c r="F53" s="37" t="s">
        <v>276</v>
      </c>
      <c r="G53" s="58"/>
      <c r="H53" s="2"/>
    </row>
    <row r="54" spans="1:8">
      <c r="A54" s="13" t="s">
        <v>18</v>
      </c>
      <c r="B54" s="13" t="s">
        <v>277</v>
      </c>
      <c r="C54" s="2">
        <v>2E-3</v>
      </c>
      <c r="D54" s="37" t="s">
        <v>278</v>
      </c>
      <c r="E54" s="59" t="str">
        <f t="shared" si="3"/>
        <v>/</v>
      </c>
      <c r="F54" s="37" t="s">
        <v>196</v>
      </c>
      <c r="G54" s="58"/>
      <c r="H54" s="2"/>
    </row>
    <row r="55" spans="1:8">
      <c r="A55" s="13" t="s">
        <v>18</v>
      </c>
      <c r="B55" s="13" t="s">
        <v>279</v>
      </c>
      <c r="C55" s="2">
        <v>2.5000000000000001E-3</v>
      </c>
      <c r="D55" s="37" t="s">
        <v>318</v>
      </c>
      <c r="E55" s="59" t="str">
        <f t="shared" si="3"/>
        <v>/</v>
      </c>
      <c r="F55" s="37" t="s">
        <v>196</v>
      </c>
      <c r="G55" s="58"/>
      <c r="H55" s="2"/>
    </row>
    <row r="56" spans="1:8">
      <c r="A56" s="13"/>
      <c r="B56" s="13"/>
      <c r="C56" s="2"/>
      <c r="D56" s="37"/>
      <c r="E56" s="59" t="str">
        <f t="shared" si="2"/>
        <v/>
      </c>
      <c r="F56" s="37"/>
      <c r="G56" s="58"/>
      <c r="H56" s="2"/>
    </row>
    <row r="57" spans="1:8">
      <c r="A57" s="13"/>
      <c r="B57" s="13"/>
      <c r="C57" s="2"/>
      <c r="D57" s="37"/>
      <c r="E57" s="59" t="str">
        <f t="shared" si="2"/>
        <v/>
      </c>
      <c r="F57" s="37"/>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Z85tmLKow+ebhHva3/xoAaCejbkEkgP7vbNTSoRy5M6e7qAx+Jiju4HfFNa6EV5wjZx/xA6RNVfuCskR6S/ryw==" saltValue="P/i4VfaA5A4+ZXWR/Vq0iw=="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2026-04-10T19:27:27Z</dcterms:modified>
</cp:coreProperties>
</file>