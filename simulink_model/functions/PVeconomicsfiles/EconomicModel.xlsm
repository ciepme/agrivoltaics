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F132A393-F1F4-4D56-A316-2F7C4B2F8234}"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F17" i="24" s="1"/>
  <c r="E14" i="16"/>
  <c r="E13" i="16"/>
  <c r="E12" i="16"/>
  <c r="E11" i="16"/>
  <c r="H11" i="16" s="1"/>
  <c r="E10" i="16"/>
  <c r="H10" i="16" s="1"/>
  <c r="A3" i="16"/>
  <c r="F20" i="16" s="1"/>
  <c r="E16" i="18"/>
  <c r="E15" i="18"/>
  <c r="G14" i="18"/>
  <c r="H14" i="18" s="1"/>
  <c r="G11" i="18"/>
  <c r="H11" i="18" s="1"/>
  <c r="A3" i="18"/>
  <c r="F10" i="18" s="1"/>
  <c r="E15" i="19"/>
  <c r="E14" i="19"/>
  <c r="G13" i="19"/>
  <c r="E13" i="19"/>
  <c r="G12" i="19"/>
  <c r="E12" i="19"/>
  <c r="E11" i="19"/>
  <c r="E10" i="19"/>
  <c r="A3" i="19"/>
  <c r="F15" i="19" s="1"/>
  <c r="G20" i="17"/>
  <c r="E19" i="17"/>
  <c r="E16" i="17"/>
  <c r="E15" i="17"/>
  <c r="E14" i="17"/>
  <c r="E13" i="17"/>
  <c r="G10" i="17"/>
  <c r="E19" i="20"/>
  <c r="E16" i="20"/>
  <c r="E15" i="20"/>
  <c r="F15" i="20" s="1"/>
  <c r="E14" i="20"/>
  <c r="E19" i="21"/>
  <c r="E16" i="21"/>
  <c r="E15" i="21"/>
  <c r="E14" i="21"/>
  <c r="E13" i="21"/>
  <c r="E12" i="21"/>
  <c r="E11" i="21"/>
  <c r="E10" i="21"/>
  <c r="C17" i="3"/>
  <c r="E15" i="3"/>
  <c r="C15" i="3"/>
  <c r="E14" i="3"/>
  <c r="C14" i="3"/>
  <c r="E13" i="3"/>
  <c r="C13" i="3"/>
  <c r="E12" i="3"/>
  <c r="C12" i="3"/>
  <c r="E11" i="3"/>
  <c r="C11" i="3"/>
  <c r="C10" i="3"/>
  <c r="H13" i="19"/>
  <c r="H12" i="19"/>
  <c r="H13" i="17"/>
  <c r="H10" i="17"/>
  <c r="F19" i="20"/>
  <c r="H14" i="20"/>
  <c r="F16" i="21"/>
  <c r="H15" i="21"/>
  <c r="F14" i="21"/>
  <c r="F13" i="21"/>
  <c r="F12" i="21"/>
  <c r="F11" i="21"/>
  <c r="F10" i="21"/>
  <c r="H20" i="17"/>
  <c r="F19" i="17"/>
  <c r="H16" i="17"/>
  <c r="H15" i="17"/>
  <c r="F14" i="17"/>
  <c r="F21" i="22"/>
  <c r="H10" i="24"/>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8" i="14"/>
  <c r="F18" i="3"/>
  <c r="F10" i="17"/>
  <c r="F18" i="14"/>
  <c r="F17" i="21"/>
  <c r="H21" i="3"/>
  <c r="F20" i="21"/>
  <c r="F13" i="20"/>
  <c r="F21" i="17"/>
  <c r="F12" i="17"/>
  <c r="F15" i="14"/>
  <c r="H15" i="14"/>
  <c r="F16" i="14"/>
  <c r="H17" i="21"/>
  <c r="H18" i="3"/>
  <c r="H12" i="17"/>
  <c r="H17" i="14"/>
  <c r="H19" i="14"/>
  <c r="F17" i="14"/>
  <c r="F21" i="14"/>
  <c r="H17" i="20"/>
  <c r="H20" i="21"/>
  <c r="H11" i="20"/>
  <c r="F20" i="20"/>
  <c r="H20" i="14"/>
  <c r="F21" i="20"/>
  <c r="H16" i="14"/>
  <c r="H21" i="21"/>
  <c r="H10" i="20"/>
  <c r="F17" i="17"/>
  <c r="F11" i="17"/>
  <c r="H11" i="17"/>
  <c r="F20" i="17"/>
  <c r="F19" i="14"/>
  <c r="H12" i="20"/>
  <c r="H20" i="3"/>
  <c r="F11" i="20"/>
  <c r="F21" i="3"/>
  <c r="H21" i="14"/>
  <c r="H21" i="20"/>
  <c r="F20" i="3"/>
  <c r="H17" i="17"/>
  <c r="H19" i="3"/>
  <c r="F10" i="20"/>
  <c r="F17" i="20"/>
  <c r="H13" i="20"/>
  <c r="H21" i="17"/>
  <c r="F19" i="3"/>
  <c r="F21" i="21"/>
  <c r="F12" i="20"/>
  <c r="F20" i="14"/>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9"/>
  <c r="H21" i="18"/>
  <c r="F12" i="18"/>
  <c r="H19" i="18"/>
  <c r="H19" i="19"/>
  <c r="H17" i="18"/>
  <c r="H10" i="22"/>
  <c r="H19" i="17"/>
  <c r="F12" i="19"/>
  <c r="F16" i="17"/>
  <c r="H19" i="24"/>
  <c r="F20" i="19"/>
  <c r="H17" i="19"/>
  <c r="F20" i="22"/>
  <c r="F20" i="18"/>
  <c r="H18" i="19"/>
  <c r="H15" i="19"/>
  <c r="H21" i="19"/>
  <c r="F16" i="16"/>
  <c r="F14" i="19"/>
  <c r="F19" i="16"/>
  <c r="H19" i="22"/>
  <c r="F17" i="16"/>
  <c r="F19" i="22"/>
  <c r="H11" i="22"/>
  <c r="H16" i="24"/>
  <c r="H13" i="24"/>
  <c r="H19" i="16"/>
  <c r="F13" i="17"/>
  <c r="H18" i="24"/>
  <c r="H20" i="24"/>
  <c r="H11" i="21"/>
  <c r="H12" i="18"/>
  <c r="F11" i="19"/>
  <c r="F19" i="18"/>
  <c r="F13" i="16"/>
  <c r="F14" i="24"/>
  <c r="F10" i="24"/>
  <c r="H15" i="24"/>
  <c r="F21" i="18"/>
  <c r="H20" i="22"/>
  <c r="F14" i="20"/>
  <c r="H14" i="16"/>
  <c r="F13" i="18"/>
  <c r="F17" i="18"/>
  <c r="F16" i="22"/>
  <c r="H21" i="16"/>
  <c r="H18" i="16"/>
  <c r="F11" i="18"/>
  <c r="H13" i="21"/>
  <c r="F13" i="19"/>
  <c r="F15" i="21"/>
  <c r="D18" i="21" s="1"/>
  <c r="H12" i="21"/>
  <c r="H15" i="16"/>
  <c r="H12" i="24"/>
  <c r="F19" i="24"/>
  <c r="H20" i="19"/>
  <c r="F13" i="24"/>
  <c r="H21" i="22"/>
  <c r="F11" i="16"/>
  <c r="H20" i="18"/>
  <c r="H18" i="18"/>
  <c r="F12" i="24"/>
  <c r="F17" i="19"/>
  <c r="F20" i="24"/>
  <c r="H16" i="16"/>
  <c r="H10" i="18"/>
  <c r="F21" i="24"/>
  <c r="H11" i="24"/>
  <c r="H16" i="21"/>
  <c r="H21" i="24"/>
  <c r="H17" i="16"/>
  <c r="H17" i="24"/>
  <c r="F11" i="22"/>
  <c r="F18" i="18"/>
  <c r="H15" i="20"/>
  <c r="H14" i="21"/>
  <c r="F21" i="16"/>
  <c r="H14" i="17"/>
  <c r="G18" i="17" s="1"/>
  <c r="F18" i="16"/>
  <c r="H13" i="16"/>
  <c r="F16" i="20"/>
  <c r="H11" i="19"/>
  <c r="F18" i="19"/>
  <c r="H16" i="18"/>
  <c r="F15" i="16"/>
  <c r="F15" i="24"/>
  <c r="F15" i="17"/>
  <c r="F16" i="18"/>
  <c r="H14" i="19"/>
  <c r="F15" i="18"/>
  <c r="F10" i="22"/>
  <c r="F12" i="16"/>
  <c r="H14" i="24"/>
  <c r="H10" i="19"/>
  <c r="H16" i="19"/>
  <c r="F18" i="24"/>
  <c r="H10" i="21"/>
  <c r="H19" i="20"/>
  <c r="F21" i="19"/>
  <c r="F11" i="24"/>
  <c r="H13" i="18"/>
  <c r="F10" i="16"/>
  <c r="H20" i="16"/>
  <c r="F19" i="19"/>
  <c r="F16" i="24"/>
  <c r="F10" i="19"/>
  <c r="H15" i="18"/>
  <c r="H12" i="16"/>
  <c r="H16" i="22"/>
  <c r="F14" i="18"/>
  <c r="F14" i="16"/>
  <c r="D18" i="17" l="1"/>
  <c r="D18" i="20"/>
  <c r="H9" i="22"/>
  <c r="E9" i="22"/>
  <c r="F9" i="22"/>
  <c r="A2" i="19"/>
  <c r="A2" i="18"/>
  <c r="A2" i="24"/>
  <c r="A2" i="16"/>
  <c r="H9" i="14"/>
  <c r="F9" i="14"/>
  <c r="E9" i="14"/>
  <c r="H9" i="17"/>
  <c r="F9" i="17"/>
  <c r="E9" i="17"/>
  <c r="H9" i="20"/>
  <c r="F9" i="20"/>
  <c r="E9" i="20"/>
  <c r="H9" i="21"/>
  <c r="F9" i="21"/>
  <c r="E9" i="21"/>
  <c r="H9" i="3"/>
  <c r="H16" i="20"/>
  <c r="F18" i="21"/>
  <c r="F19" i="21"/>
  <c r="H18" i="17"/>
  <c r="F18" i="20"/>
  <c r="F18" i="17"/>
  <c r="G18" i="20" l="1"/>
  <c r="E9" i="24"/>
  <c r="H9" i="19"/>
  <c r="F9" i="3"/>
  <c r="E9" i="3"/>
  <c r="E9" i="18"/>
  <c r="F9" i="18"/>
  <c r="H9" i="18"/>
  <c r="H9" i="24"/>
  <c r="F9" i="24"/>
  <c r="E9" i="16"/>
  <c r="F9" i="16"/>
  <c r="H9" i="16"/>
  <c r="F22" i="17" l="1"/>
  <c r="D12" i="3" s="1"/>
  <c r="F12" i="3" s="1"/>
  <c r="D15" i="22" s="1"/>
  <c r="F9" i="19"/>
  <c r="E9" i="19"/>
  <c r="F22" i="19"/>
  <c r="D13" i="3" s="1"/>
  <c r="F13" i="3" s="1"/>
  <c r="D12" i="22" s="1"/>
  <c r="H22" i="24"/>
  <c r="G16" i="3" s="1"/>
  <c r="H16" i="3" s="1"/>
  <c r="F22" i="24"/>
  <c r="D16" i="3" s="1"/>
  <c r="F16" i="3" s="1"/>
  <c r="F22" i="18"/>
  <c r="D14" i="3" s="1"/>
  <c r="F14" i="3" s="1"/>
  <c r="H22" i="19"/>
  <c r="G13" i="3" s="1"/>
  <c r="H13" i="3" s="1"/>
  <c r="H22" i="18"/>
  <c r="G14" i="3" s="1"/>
  <c r="H14" i="3" s="1"/>
  <c r="H22" i="16" l="1"/>
  <c r="G15" i="3" s="1"/>
  <c r="H15" i="3" s="1"/>
  <c r="F22" i="16"/>
  <c r="D15" i="3" s="1"/>
  <c r="F15" i="3" s="1"/>
  <c r="H12" i="22"/>
  <c r="F15" i="22"/>
  <c r="F22" i="20" l="1"/>
  <c r="D11" i="3" s="1"/>
  <c r="F11" i="3" s="1"/>
  <c r="D14" i="22" s="1"/>
  <c r="H15" i="22"/>
  <c r="F12" i="22"/>
  <c r="H22" i="17" l="1"/>
  <c r="G12" i="3" s="1"/>
  <c r="H12" i="3" s="1"/>
  <c r="F14" i="22"/>
  <c r="F22" i="21" l="1"/>
  <c r="D10" i="3" s="1"/>
  <c r="F10" i="3" s="1"/>
  <c r="H14" i="14"/>
  <c r="H19" i="21"/>
  <c r="G18" i="21" s="1"/>
  <c r="H14" i="22"/>
  <c r="H18" i="20"/>
  <c r="G20" i="20" s="1"/>
  <c r="F14" i="14"/>
  <c r="D10" i="14" l="1"/>
  <c r="F10" i="14" s="1"/>
  <c r="D11" i="14"/>
  <c r="F11" i="14" s="1"/>
  <c r="D12" i="14"/>
  <c r="F12" i="14" s="1"/>
  <c r="D13" i="22"/>
  <c r="H13" i="22" s="1"/>
  <c r="H20" i="20"/>
  <c r="H18" i="21"/>
  <c r="D13" i="14" l="1"/>
  <c r="F13" i="14"/>
  <c r="H22" i="21"/>
  <c r="G10" i="3" s="1"/>
  <c r="H10" i="3" s="1"/>
  <c r="H22" i="20"/>
  <c r="G11" i="3" s="1"/>
  <c r="H11" i="3" s="1"/>
  <c r="F13" i="22"/>
  <c r="G10" i="14" l="1"/>
  <c r="H10" i="14" s="1"/>
  <c r="G12" i="14"/>
  <c r="H12" i="14" s="1"/>
  <c r="G11" i="14"/>
  <c r="H11" i="14" s="1"/>
  <c r="F22" i="14"/>
  <c r="D17" i="3" s="1"/>
  <c r="F17" i="3" s="1"/>
  <c r="G13" i="14" l="1"/>
  <c r="H13" i="14"/>
  <c r="F22" i="3"/>
  <c r="D18" i="22" l="1"/>
  <c r="D17" i="22"/>
  <c r="H18" i="22"/>
  <c r="F17" i="22"/>
  <c r="H22" i="14"/>
  <c r="G17" i="3" s="1"/>
  <c r="H17" i="3" s="1"/>
  <c r="H22" i="3" l="1"/>
  <c r="H17" i="22"/>
  <c r="F18"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23AACB57-FA9D-4DE5-9E55-2EEF92C32B1E}">
      <text>
        <r>
          <rPr>
            <sz val="9"/>
            <color indexed="81"/>
            <rFont val="Tahoma"/>
            <family val="2"/>
          </rPr>
          <t>PV Benchmark Range:     $1172 - $1461            PV+ESS Range:          $1728 - $2365</t>
        </r>
      </text>
    </comment>
    <comment ref="H22" authorId="1" shapeId="0" xr:uid="{B46CCABB-3661-48EB-B402-3E2C1FAA0829}">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E5C0B8CA-6EAA-4F5C-9101-D318EE0DF13A}">
      <text>
        <r>
          <rPr>
            <sz val="9"/>
            <color indexed="81"/>
            <rFont val="Tahoma"/>
            <family val="2"/>
          </rPr>
          <t>Benchmark Range:     $211 - $289</t>
        </r>
      </text>
    </comment>
    <comment ref="H22" authorId="1" shapeId="0" xr:uid="{6E8D76D7-37EA-4C1C-A1B4-67D6EF9CF6B3}">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4BF05F82-E805-4E61-969B-A11269900D91}">
      <text>
        <r>
          <rPr>
            <sz val="9"/>
            <color indexed="81"/>
            <rFont val="Tahoma"/>
            <family val="2"/>
          </rPr>
          <t>Benchmark Range:     $35 - $104</t>
        </r>
      </text>
    </comment>
    <comment ref="H22" authorId="1" shapeId="0" xr:uid="{D54D557D-69B6-4CAE-A5AD-F93EF5BD140E}">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4285A71-04DC-4B80-85DD-18E8F191C47A}">
      <text>
        <r>
          <rPr>
            <sz val="9"/>
            <color indexed="81"/>
            <rFont val="Tahoma"/>
            <family val="2"/>
          </rPr>
          <t>Benchmark Range:     $148 - $272</t>
        </r>
      </text>
    </comment>
    <comment ref="H22" authorId="1" shapeId="0" xr:uid="{0D2BC3F3-6639-4445-9E5B-B405ED7F7450}">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CCD7AA7B-42D2-427D-8C0F-12B411347BAC}">
      <text>
        <r>
          <rPr>
            <sz val="9"/>
            <color indexed="81"/>
            <rFont val="Tahoma"/>
            <family val="2"/>
          </rPr>
          <t>PV Benchmark Range:     $28 - $47            PV+ESS Range:          $30 - $49</t>
        </r>
      </text>
    </comment>
    <comment ref="H22" authorId="1" shapeId="0" xr:uid="{700F7B98-44EF-44EF-8A9C-F6E0F76DC215}">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B42D2A55-A244-4D57-B7B8-E5684165FB09}">
      <text>
        <r>
          <rPr>
            <sz val="9"/>
            <color indexed="81"/>
            <rFont val="Tahoma"/>
            <family val="2"/>
          </rPr>
          <t>PV Benchmark Range:     $245 - $245            PV+ESS Range:          $245 - $245</t>
        </r>
      </text>
    </comment>
    <comment ref="H22" authorId="1" shapeId="0" xr:uid="{0FB63777-EB36-4006-9CE9-02597DA2B79E}">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D7C275A0-3D84-4476-A267-0E803FDA05D9}">
      <text>
        <r>
          <rPr>
            <sz val="9"/>
            <color indexed="81"/>
            <rFont val="Tahoma"/>
            <family val="2"/>
          </rPr>
          <t>PV Benchmark Range:     $55 - $97            PV+ESS Range:          $88 - $130</t>
        </r>
      </text>
    </comment>
    <comment ref="H22" authorId="1" shapeId="0" xr:uid="{D1FE1DBB-5283-4CF7-862B-B9C49146A075}">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723EBA6E-7B39-435A-AB82-4B3DD4A79F66}">
      <text>
        <r>
          <rPr>
            <sz val="9"/>
            <color indexed="81"/>
            <rFont val="Tahoma"/>
            <family val="2"/>
          </rPr>
          <t>PV Benchmark Range:     $148 - $165            PV+ESS Range:          $148 - $165</t>
        </r>
      </text>
    </comment>
    <comment ref="H22" authorId="1" shapeId="0" xr:uid="{835359D4-E67F-4CD1-AEF2-154EC8EFE3DC}">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180729C2-87D0-4AA9-A9BC-C5BCBB8D1E56}">
      <text>
        <r>
          <rPr>
            <sz val="9"/>
            <color indexed="81"/>
            <rFont val="Tahoma"/>
            <family val="2"/>
          </rPr>
          <t>PV Benchmark Range:     $189 - $236            PV+ESS Range:          $276 - $381</t>
        </r>
      </text>
    </comment>
    <comment ref="H22" authorId="1" shapeId="0" xr:uid="{32382D72-02D7-4D28-8387-19E7933CEADF}">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01348A0E-ECE2-40B3-875B-CBCBA0344300}">
      <text>
        <r>
          <rPr>
            <sz val="9"/>
            <color indexed="81"/>
            <rFont val="Tahoma"/>
            <family val="2"/>
          </rPr>
          <t>PV Benchmark Range:     $17 - $26            PV+ESS Range:          $35 - $57</t>
        </r>
      </text>
    </comment>
    <comment ref="H22" authorId="1" shapeId="0" xr:uid="{F1AF1885-B948-42C0-82D4-467CD3B09250}">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<sst xmlns="http://schemas.openxmlformats.org/spreadsheetml/2006/main" count="697" uniqueCount="320">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</sst>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232.00560526095006</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150.15227027306304</c:v>
                </c:pt>
                <c:pt idx="1">
                  <c:v>152.0347575827077</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364.80226931735956</c:v>
                </c:pt>
                <c:pt idx="1">
                  <c:v>384.70676931735954</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366.76638256814346</c:v>
                </c:pt>
                <c:pt idx="1">
                  <c:v>374.26638256814346</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243.58087484299358</c:v>
                </c:pt>
                <c:pt idx="1">
                  <c:v>273.57011841838653</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1.5015227027306304</c:v>
                </c:pt>
                <c:pt idx="1">
                  <c:v>1.5015227027306304</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0.23200560526095007</c:v>
                </c:pt>
                <c:pt idx="1">
                  <c:v>0.23200560526095007</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3.1733007315323185</c:v>
                </c:pt>
                <c:pt idx="1">
                  <c:v>3.1733007315323185</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3.9666259144153981</c:v>
                </c:pt>
                <c:pt idx="1">
                  <c:v>3.9666259144153981</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17.796300018761215</c:v>
                </c:pt>
                <c:pt idx="1">
                  <c:v>17.796300018761215</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497.48</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232.00560526095006</v>
      </c>
      <c r="E10" s="30">
        <v>1</v>
      </c>
      <c r="F10" s="7">
        <f t="shared" ref="F10:F21" si="0">E10*D10*includerow(I10,IncludeESS,IncludeIndirect)</f>
        <v>232.00560526095006</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30.030454054612608</v>
      </c>
      <c r="E13" s="30">
        <f>1/ModuleEfficiency</f>
        <v>5</v>
      </c>
      <c r="F13" s="7">
        <f t="shared" si="0"/>
        <v>150.15227027306304</v>
      </c>
      <c r="G13" s="49">
        <f>SBOSMMP</f>
        <v>30.40695151654154</v>
      </c>
      <c r="H13" s="7">
        <f t="shared" si="1"/>
        <v>152.0347575827077</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72.960453863471912</v>
      </c>
      <c r="E15" s="30">
        <f>1/ModuleEfficiency</f>
        <v>5</v>
      </c>
      <c r="F15" s="7">
        <f t="shared" si="0"/>
        <v>364.80226931735956</v>
      </c>
      <c r="G15" s="49">
        <f>FieldworkMMP</f>
        <v>76.941353863471903</v>
      </c>
      <c r="H15" s="7">
        <f t="shared" si="1"/>
        <v>384.70676931735954</v>
      </c>
      <c r="I15" s="37"/>
      <c r="J15" s="2"/>
      <c r="K15"/>
      <c r="L15"/>
      <c r="M15"/>
      <c r="N15"/>
      <c r="O15"/>
      <c r="P15"/>
      <c r="Q15"/>
      <c r="R15"/>
      <c r="S15"/>
      <c r="T15"/>
    </row>
    <row r="16" spans="1:20" ht="18" customHeight="1">
      <c r="A16" s="13" t="s">
        <v>41</v>
      </c>
      <c r="B16" s="34" t="s">
        <v>82</v>
      </c>
      <c r="C16" s="24" t="str">
        <f>OfficeworkUnit</f>
        <v>kWdc</v>
      </c>
      <c r="D16" s="49">
        <f>OfficeworkMSP</f>
        <v>366.76638256814346</v>
      </c>
      <c r="E16" s="30">
        <v>1</v>
      </c>
      <c r="F16" s="7">
        <f t="shared" si="0"/>
        <v>366.76638256814346</v>
      </c>
      <c r="G16" s="49">
        <f>OfficeworkMMP</f>
        <v>374.26638256814346</v>
      </c>
      <c r="H16" s="7">
        <f t="shared" si="1"/>
        <v>374.26638256814346</v>
      </c>
      <c r="I16" s="37" t="s">
        <v>83</v>
      </c>
      <c r="J16" s="2"/>
      <c r="K16"/>
      <c r="L16"/>
      <c r="M16"/>
      <c r="N16"/>
      <c r="O16"/>
      <c r="P16"/>
      <c r="Q16"/>
      <c r="R16"/>
      <c r="S16"/>
      <c r="T16"/>
    </row>
    <row r="17" spans="1:20" ht="18" customHeight="1">
      <c r="A17" s="13" t="s">
        <v>11</v>
      </c>
      <c r="B17" s="65" t="s">
        <v>84</v>
      </c>
      <c r="C17" s="24" t="str">
        <f>OtherUnit</f>
        <v>kWdc</v>
      </c>
      <c r="D17" s="49">
        <f>OtherMSP</f>
        <v>243.58087484299358</v>
      </c>
      <c r="E17" s="30">
        <v>1</v>
      </c>
      <c r="F17" s="7">
        <f t="shared" si="0"/>
        <v>243.58087484299358</v>
      </c>
      <c r="G17" s="49">
        <f>OtherMMP</f>
        <v>273.57011841838653</v>
      </c>
      <c r="H17" s="7">
        <f t="shared" si="1"/>
        <v>273.57011841838653</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1586.6503657661592</v>
      </c>
      <c r="G22" s="15" t="s">
        <v>61</v>
      </c>
      <c r="H22" s="8">
        <f>SUM(H10:H21)</f>
        <v>1769.4831373756483</v>
      </c>
      <c r="I22"/>
      <c r="J22"/>
    </row>
  </sheetData>
  <sheetProtection algorithmName="SHA-512" hashValue="laCi3rxE3poanY5kESq7GwetsPHGKvONnW5+e1Sejn9BSH/ntU6MY/O1wCGLq1U13w66Ybnpha1jfUz58yhW+w==" saltValue="37CgxprfxrV8s0gCJ6vrPg=="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8.1258524095033291</v>
      </c>
      <c r="F11" s="7">
        <f t="shared" si="0"/>
        <v>12.188778614254993</v>
      </c>
      <c r="G11" s="10"/>
      <c r="H11" s="12">
        <f t="shared" si="1"/>
        <v>12.188778614254993</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0.77403814150346062</v>
      </c>
      <c r="F13" s="7">
        <f t="shared" si="0"/>
        <v>4.8764402914718019</v>
      </c>
      <c r="G13" s="10"/>
      <c r="H13" s="12">
        <f t="shared" si="1"/>
        <v>4.8764402914718019</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13.644780913046386</v>
      </c>
      <c r="E18" s="30">
        <v>1</v>
      </c>
      <c r="F18" s="7">
        <f t="shared" si="0"/>
        <v>13.644780913046386</v>
      </c>
      <c r="G18" s="75">
        <f>ModuleMarketPrice-SUM(H10:H17,H19:H21)</f>
        <v>102.33305320311675</v>
      </c>
      <c r="H18" s="12">
        <f t="shared" si="1"/>
        <v>102.33305320311675</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232.00560526095006</v>
      </c>
      <c r="G22" s="15" t="s">
        <v>61</v>
      </c>
      <c r="H22" s="8">
        <f>SUM(H10:H21)</f>
        <v>336</v>
      </c>
      <c r="I22"/>
      <c r="J22"/>
    </row>
    <row r="23" spans="1:10">
      <c r="F23" s="11"/>
    </row>
  </sheetData>
  <sheetProtection algorithmName="SHA-512" hashValue="icD81Qs+Gl8ytNne3GHacBxiU1mCsT+6LVdCvEyMFEXXmtXeVmvVPpxUYvyNfHLnZigwdCUiEZHo1WuVdyxOTQ==" saltValue="WAZ3aDHll/Z6CZdzF7y4yQ=="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Vh4gJtMOkJGjndoZxvLsNHpepm5x9n660U99weDaWXzZ/njCZt46cSxO68WFrFO0AXDzR6YGpdXAa13IXqFFjQ==" saltValue="RDCi2dVGX4+qDRYLW5nQA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o9Np0B8eHx80IPacI5IrOiZoNDlCiLMbTE8xdhYQhKOUqpiVIZFUbEPcVLOVXsy0E8chJa9ZekLii/Vy96dtuw==" saltValue="flHDCFssjv3i3ndeWXQMV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2487.4</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3.8872321034484347E-2</v>
      </c>
      <c r="F11" s="7">
        <f t="shared" si="0"/>
        <v>7.7744642068968695</v>
      </c>
      <c r="G11" s="5"/>
      <c r="H11" s="12">
        <f t="shared" si="1"/>
        <v>7.7744642068968695</v>
      </c>
      <c r="I11" s="61"/>
      <c r="J11" s="2" t="s">
        <v>137</v>
      </c>
    </row>
    <row r="12" spans="1:15" ht="18" customHeight="1">
      <c r="A12" s="13" t="s">
        <v>138</v>
      </c>
      <c r="B12" s="6"/>
      <c r="C12" s="28" t="s">
        <v>89</v>
      </c>
      <c r="D12" s="4">
        <v>2.1</v>
      </c>
      <c r="E12" s="30">
        <f>1/ModuleWidth</f>
        <v>0.50761421319796951</v>
      </c>
      <c r="F12" s="7">
        <f t="shared" si="0"/>
        <v>1.0659898477157361</v>
      </c>
      <c r="G12" s="67">
        <f>D12*(1+Tariff301)</f>
        <v>2.625</v>
      </c>
      <c r="H12" s="12">
        <f t="shared" si="1"/>
        <v>1.3324873096446699</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30.030454054612608</v>
      </c>
      <c r="G22" s="15" t="s">
        <v>61</v>
      </c>
      <c r="H22" s="8">
        <f>SUM(H10:H21)</f>
        <v>30.40695151654154</v>
      </c>
      <c r="I22"/>
      <c r="J22"/>
    </row>
    <row r="23" spans="1:10">
      <c r="F23" s="11"/>
    </row>
  </sheetData>
  <sheetProtection algorithmName="SHA-512" hashValue="pr7853XNao/rWbqQ/nZ/IlqZ+V0AoWdBagqlx62VIJYm7dRQxnyGx5xEYS/bWkXosm0OV1w1bS6R05GXyp1/yw==" saltValue="VxSQX1pIH/QN2sXNDRYo2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363.12408759124088</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utewNp7Dq7wCYhvgZbeT9oXNo6f49uQxto4mQHWV8CAE2rKxDJIeW0UGFtESIQLE6TZ2pB96PM4c7tl+NOaCEw==" saltValue="O1YA3HW8gmZLcFnwzzUBIQ=="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2487.4</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9.4070917423816027</v>
      </c>
      <c r="G13" s="5"/>
      <c r="H13" s="12">
        <f t="shared" si="1"/>
        <v>9.4070917423816027</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4.0202621210902949</v>
      </c>
      <c r="G15" s="4"/>
      <c r="H15" s="12">
        <f t="shared" si="1"/>
        <v>4.0202621210902949</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72.960453863471912</v>
      </c>
      <c r="G22" s="15" t="s">
        <v>61</v>
      </c>
      <c r="H22" s="8">
        <f>SUM(H10:H21)</f>
        <v>76.941353863471903</v>
      </c>
      <c r="I22"/>
      <c r="J22"/>
    </row>
    <row r="23" spans="1:10">
      <c r="F23" s="11"/>
    </row>
  </sheetData>
  <sheetProtection algorithmName="SHA-512" hashValue="h8PvUdd8shoAegG5soukz8h4rlkYOT2m402ivhn7KLgKMjH3UsqYnnIfJyA5HxZnOfaElAFRsWVAJaDepJT4Ow==" saltValue="Ttr3uddCI1dMtH/UiQF9ew=="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497.48</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165.70917423816033</v>
      </c>
      <c r="G12" s="5"/>
      <c r="H12" s="12">
        <f t="shared" si="1"/>
        <v>165.70917423816033</v>
      </c>
      <c r="I12" s="37"/>
      <c r="J12" s="2" t="s">
        <v>302</v>
      </c>
    </row>
    <row r="13" spans="1:15" ht="18" customHeight="1">
      <c r="A13" s="13" t="s">
        <v>163</v>
      </c>
      <c r="B13" s="6">
        <v>25000</v>
      </c>
      <c r="C13" s="28"/>
      <c r="D13" s="4"/>
      <c r="E13" s="30"/>
      <c r="F13" s="7">
        <f t="shared" si="0"/>
        <v>50.253276513628684</v>
      </c>
      <c r="G13" s="5"/>
      <c r="H13" s="12">
        <f t="shared" si="1"/>
        <v>50.253276513628684</v>
      </c>
      <c r="I13" s="37"/>
      <c r="J13" s="2" t="s">
        <v>164</v>
      </c>
    </row>
    <row r="14" spans="1:15" ht="18" customHeight="1">
      <c r="A14" s="13" t="s">
        <v>303</v>
      </c>
      <c r="B14" s="6">
        <v>30000</v>
      </c>
      <c r="C14" s="28" t="s">
        <v>22</v>
      </c>
      <c r="D14" s="4">
        <v>60</v>
      </c>
      <c r="E14" s="30">
        <v>1</v>
      </c>
      <c r="F14" s="7">
        <f t="shared" si="0"/>
        <v>120.30393181635442</v>
      </c>
      <c r="G14" s="5"/>
      <c r="H14" s="12">
        <f t="shared" si="1"/>
        <v>120.30393181635442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366.76638256814346</v>
      </c>
      <c r="G22" s="15" t="s">
        <v>61</v>
      </c>
      <c r="H22" s="8">
        <f>SUM(H10:H21)</f>
        <v>374.26638256814346</v>
      </c>
      <c r="I22"/>
      <c r="J22"/>
    </row>
    <row r="23" spans="1:10">
      <c r="F23" s="11"/>
    </row>
  </sheetData>
  <sheetProtection algorithmName="SHA-512" hashValue="gX+dR+VTjy3YUs3Vz4d+qfMkLQVOAiDX/kC3g3QOSPTIYmMIRBX4iDNHM0IizLXKeh6ZTMoirVQA5NXNdDydlg==" saltValue="8+83ZKZTZBOextbqlDz5c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35.467048664184439</v>
      </c>
      <c r="E10" s="30">
        <v>1</v>
      </c>
      <c r="F10" s="7">
        <f t="shared" ref="F10:F21" si="0">($B10/$A$3+$E10*$D10)*includerow($I10,IncludeESS,IncludeIndirect)</f>
        <v>35.467048664184439</v>
      </c>
      <c r="G10" s="67">
        <f>B10/$A$3+(SysModuleMMP+SysInverterMMP+SysESSMMP+SysSBOSMMP+SysEBOSMMP)*SalesTaxRate</f>
        <v>42.742512290162011</v>
      </c>
      <c r="H10" s="12">
        <f t="shared" ref="H10:H21" si="1">IF($G10&lt;&gt;0,$G10*$E10*includerow($I10,IncludeESS,IncludeIndirect),($B10/$A$3+$D10*$E10)*includerow($I10,IncludeESS,IncludeIndirect))</f>
        <v>42.742512290162011</v>
      </c>
      <c r="I10" s="37"/>
      <c r="J10" s="2" t="s">
        <v>167</v>
      </c>
    </row>
    <row r="11" spans="1:15" ht="18" customHeight="1">
      <c r="A11" s="13" t="s">
        <v>168</v>
      </c>
      <c r="B11" s="6"/>
      <c r="C11" s="28" t="s">
        <v>22</v>
      </c>
      <c r="D11" s="66">
        <f>(SysModuleMSP+SysInverterMSP+SysESSMSP+SysSBOSMSP+SysEBOSMSP+SysFieldworkMSP+SysOfficeworkMSP)*ContingencyRate</f>
        <v>67.153474546158279</v>
      </c>
      <c r="E11" s="30">
        <v>1</v>
      </c>
      <c r="F11" s="7">
        <f t="shared" si="0"/>
        <v>67.153474546158279</v>
      </c>
      <c r="G11" s="67">
        <f>B11/$A$3+(SysModuleMMP+SysInverterMMP+SysESSMMP+SysSBOSMMP+SysEBOSMMP+SysFieldworkMMP+SysOfficeworkMMP)*ContingencyRate</f>
        <v>74.795650947863095</v>
      </c>
      <c r="H11" s="12">
        <f t="shared" si="1"/>
        <v>74.795650947863095</v>
      </c>
      <c r="I11" s="37"/>
      <c r="J11" s="2" t="s">
        <v>169</v>
      </c>
    </row>
    <row r="12" spans="1:15" ht="18" customHeight="1">
      <c r="A12" s="13" t="s">
        <v>170</v>
      </c>
      <c r="B12" s="6">
        <v>1000000</v>
      </c>
      <c r="C12" s="28" t="s">
        <v>22</v>
      </c>
      <c r="D12" s="66">
        <f>(SysModuleMSP+SysInverterMSP+SysESSMSP+SysSBOSMSP+SysEBOSMSP+SysFieldworkMSP+SysOfficeworkMSP)*OverheadRate</f>
        <v>13.430694909231656</v>
      </c>
      <c r="E12" s="30">
        <v>1</v>
      </c>
      <c r="F12" s="7">
        <f t="shared" si="0"/>
        <v>23.430694909231654</v>
      </c>
      <c r="G12" s="67">
        <f>B12/$A$3+(SysModuleMMP+SysInverterMMP+SysESSMMP+SysSBOSMMP+SysEBOSMMP+SysFieldworkMMP+SysOfficeworkMMP)*OverheadRate</f>
        <v>24.959130189572619</v>
      </c>
      <c r="H12" s="12">
        <f t="shared" si="1"/>
        <v>24.959130189572619</v>
      </c>
      <c r="I12" s="37"/>
      <c r="J12" s="2" t="s">
        <v>171</v>
      </c>
    </row>
    <row r="13" spans="1:15" ht="18" customHeight="1">
      <c r="A13" s="13" t="s">
        <v>107</v>
      </c>
      <c r="B13" s="6"/>
      <c r="C13" s="28" t="s">
        <v>22</v>
      </c>
      <c r="D13" s="66">
        <f>( SysModuleMSP+ SysInverterMSP+ SysESSMSP+ SysSBOSMSP+ SysEBOSMSP+ SysFieldworkMSP+ SysOfficeworkMSP+SUM(F10:F12))* DeveloperProfitMSP</f>
        <v>117.52965672341919</v>
      </c>
      <c r="E13" s="30">
        <v>1</v>
      </c>
      <c r="F13" s="7">
        <f t="shared" si="0"/>
        <v>117.52965672341919</v>
      </c>
      <c r="G13" s="67">
        <f>B13/$A$3+(SysModuleMMP+SysInverterMMP+SysESSMMP+SysSBOSMMP+SysEBOSMMP+SysFieldworkMMP+SysOfficeworkMMP+SUM(H10:H12))*DeveloperProfitMMP</f>
        <v>131.07282499078877</v>
      </c>
      <c r="H13" s="12">
        <f t="shared" si="1"/>
        <v>131.07282499078877</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243.58087484299358</v>
      </c>
      <c r="G22" s="15" t="s">
        <v>61</v>
      </c>
      <c r="H22" s="8">
        <f>SUM(H10:H21)</f>
        <v>273.57011841838653</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WThKnR3grYWDqyx8kVhikzqPY8wgwUT8r46NfigpEJLsZSaVlAcJLwHHHt+2Cle5r8EZBk99WYpG/187/B5JBQ==" saltValue="sdBnHqitQ76SsCKStfEA8w=="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497.48</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150.15227027306304</v>
      </c>
      <c r="E12" s="30">
        <f>PartsLossRate/ModuleEfficiency</f>
        <v>0.01</v>
      </c>
      <c r="F12" s="7">
        <f t="shared" si="0"/>
        <v>1.5015227027306304</v>
      </c>
      <c r="G12" s="5"/>
      <c r="H12" s="12">
        <f t="shared" si="1"/>
        <v>1.5015227027306304</v>
      </c>
      <c r="I12" s="37"/>
      <c r="J12" s="2" t="s">
        <v>178</v>
      </c>
    </row>
    <row r="13" spans="1:15" ht="18" customHeight="1">
      <c r="A13" s="13" t="s">
        <v>179</v>
      </c>
      <c r="B13" s="6"/>
      <c r="C13" s="28" t="s">
        <v>22</v>
      </c>
      <c r="D13" s="66">
        <f>SysModuleMSP</f>
        <v>232.00560526095006</v>
      </c>
      <c r="E13" s="30">
        <f>ModuleLossRate</f>
        <v>1E-3</v>
      </c>
      <c r="F13" s="7">
        <f t="shared" si="0"/>
        <v>0.23200560526095007</v>
      </c>
      <c r="G13" s="5"/>
      <c r="H13" s="12">
        <f t="shared" si="1"/>
        <v>0.23200560526095007</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3.1733007315323185</v>
      </c>
      <c r="E17" s="30">
        <f>IncludeIndirect*1</f>
        <v>1</v>
      </c>
      <c r="F17" s="7">
        <f t="shared" si="0"/>
        <v>3.1733007315323185</v>
      </c>
      <c r="G17" s="4"/>
      <c r="H17" s="12">
        <f t="shared" si="1"/>
        <v>3.1733007315323185</v>
      </c>
      <c r="I17" s="37" t="s">
        <v>83</v>
      </c>
      <c r="J17" s="2" t="s">
        <v>189</v>
      </c>
    </row>
    <row r="18" spans="1:10" ht="18" customHeight="1">
      <c r="A18" s="13" t="s">
        <v>190</v>
      </c>
      <c r="B18" s="6"/>
      <c r="C18" s="29" t="s">
        <v>188</v>
      </c>
      <c r="D18" s="66">
        <f>SystemMSP*InsuranceRate</f>
        <v>3.9666259144153981</v>
      </c>
      <c r="E18" s="30">
        <f>IncludeIndirect*1</f>
        <v>1</v>
      </c>
      <c r="F18" s="7">
        <f t="shared" si="0"/>
        <v>3.9666259144153981</v>
      </c>
      <c r="G18" s="4"/>
      <c r="H18" s="12">
        <f t="shared" si="1"/>
        <v>3.9666259144153981</v>
      </c>
      <c r="I18" s="37" t="s">
        <v>83</v>
      </c>
      <c r="J18" s="2" t="s">
        <v>305</v>
      </c>
    </row>
    <row r="19" spans="1:10" ht="18" customHeight="1">
      <c r="A19" s="13" t="s">
        <v>170</v>
      </c>
      <c r="B19" s="6">
        <v>8853.3033333333296</v>
      </c>
      <c r="C19" s="29"/>
      <c r="D19" s="4"/>
      <c r="E19" s="30"/>
      <c r="F19" s="7">
        <f t="shared" si="0"/>
        <v>17.796300018761215</v>
      </c>
      <c r="G19" s="4"/>
      <c r="H19" s="12">
        <f t="shared" si="1"/>
        <v>17.796300018761215</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37.895810656718481</v>
      </c>
      <c r="G22" s="15" t="s">
        <v>61</v>
      </c>
      <c r="H22" s="8">
        <f>SUM(H10:H21)</f>
        <v>37.895810656718481</v>
      </c>
      <c r="I22"/>
      <c r="J22"/>
    </row>
    <row r="23" spans="1:10">
      <c r="F23" s="11"/>
    </row>
  </sheetData>
  <sheetProtection algorithmName="SHA-512" hashValue="hH6s1OCNYhpQtBpdG+oDWV8WFm28EDUzeHliRscxrX8AuLghQqiSywjErb5CPmT6rn/6wf2AH5ol9M44iRIR1g==" saltValue="dEXUFCsB4dXWla0BLasQzg=="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3.2789999999999999</v>
      </c>
      <c r="D10" s="37" t="s">
        <v>89</v>
      </c>
      <c r="E10" s="59" t="str">
        <f t="shared" si="0"/>
        <v>/</v>
      </c>
      <c r="F10" s="37"/>
      <c r="G10" s="58"/>
      <c r="H10" s="2"/>
    </row>
    <row r="11" spans="1:8">
      <c r="A11" s="13" t="s">
        <v>1</v>
      </c>
      <c r="B11" s="13" t="s">
        <v>203</v>
      </c>
      <c r="C11" s="2">
        <v>1.97</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IpLCMNJGAKDNkI7uYp94c7aI09Lawwjw425b7eyt7QbmE17kgvF7SBhL5Xu707had/RumpLJag9iyR63eE77cw==" saltValue="8EiVLjkcxFajFIIrtScqqQ=="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2026-05-14T23:27:51Z</dcterms:modified>
</cp:coreProperties>
</file>