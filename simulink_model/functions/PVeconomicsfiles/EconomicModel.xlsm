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A4B13275-4081-4B6F-AA92-076BB2546932}"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7" i="17"/>
  <c r="H15" i="14"/>
  <c r="F11" i="20"/>
  <c r="F10" i="20"/>
  <c r="H21" i="14"/>
  <c r="F10" i="17"/>
  <c r="F21" i="21"/>
  <c r="H10" i="16"/>
  <c r="F20" i="16"/>
  <c r="F17" i="20"/>
  <c r="F16" i="14"/>
  <c r="F20" i="14"/>
  <c r="F15" i="14"/>
  <c r="F10" i="18"/>
  <c r="F20" i="3"/>
  <c r="F21" i="20"/>
  <c r="H20" i="3"/>
  <c r="F18" i="14"/>
  <c r="H21" i="21"/>
  <c r="F19" i="14"/>
  <c r="H15" i="21"/>
  <c r="H17" i="14"/>
  <c r="H18" i="14"/>
  <c r="F19" i="3"/>
  <c r="H16" i="14"/>
  <c r="F17" i="14"/>
  <c r="F17" i="24"/>
  <c r="H13" i="17"/>
  <c r="F10" i="21"/>
  <c r="H13" i="20"/>
  <c r="F11" i="17"/>
  <c r="H11" i="20"/>
  <c r="H16" i="17"/>
  <c r="F21" i="14"/>
  <c r="F17" i="21"/>
  <c r="H17" i="21"/>
  <c r="H20" i="21"/>
  <c r="H19" i="14"/>
  <c r="F18" i="3"/>
  <c r="F20" i="17"/>
  <c r="F21" i="3"/>
  <c r="F12" i="20"/>
  <c r="H17" i="20"/>
  <c r="F13" i="21"/>
  <c r="F21" i="17"/>
  <c r="H10" i="17"/>
  <c r="H17" i="17"/>
  <c r="F20" i="21"/>
  <c r="H10" i="24"/>
  <c r="H14" i="18"/>
  <c r="H15" i="17"/>
  <c r="F21" i="22"/>
  <c r="H11" i="18"/>
  <c r="H20" i="14"/>
  <c r="F14" i="17"/>
  <c r="H21" i="20"/>
  <c r="F12" i="17"/>
  <c r="H18" i="3"/>
  <c r="H21" i="3"/>
  <c r="H10" i="20"/>
  <c r="H19" i="3"/>
  <c r="H21" i="17"/>
  <c r="H12" i="20"/>
  <c r="F14" i="21"/>
  <c r="F20" i="20"/>
  <c r="F13" i="20"/>
  <c r="H11" i="17"/>
  <c r="F11" i="21"/>
  <c r="H12" i="17"/>
  <c r="F12" i="21"/>
  <c r="F19" i="20"/>
  <c r="F15" i="20"/>
  <c r="H14" i="20"/>
  <c r="H20" i="17"/>
  <c r="H13" i="19"/>
  <c r="F15" i="19"/>
  <c r="H12" i="19"/>
  <c r="F16" i="21"/>
  <c r="H11" i="16"/>
  <c r="F19" i="17"/>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1" i="19"/>
  <c r="F14" i="19"/>
  <c r="F13" i="24"/>
  <c r="H14" i="17"/>
  <c r="H18" i="16"/>
  <c r="F10" i="16"/>
  <c r="H18" i="24"/>
  <c r="F16" i="19"/>
  <c r="H11" i="22"/>
  <c r="F17" i="16"/>
  <c r="F15" i="24"/>
  <c r="H20" i="16"/>
  <c r="H19" i="17"/>
  <c r="F12" i="24"/>
  <c r="H14" i="24"/>
  <c r="H20" i="22"/>
  <c r="F18" i="24"/>
  <c r="H16" i="16"/>
  <c r="H15" i="16"/>
  <c r="H19" i="19"/>
  <c r="H14" i="21"/>
  <c r="F19" i="16"/>
  <c r="H16" i="19"/>
  <c r="F14" i="18"/>
  <c r="H10" i="21"/>
  <c r="H13" i="24"/>
  <c r="F16" i="22"/>
  <c r="F14" i="20"/>
  <c r="H17" i="16"/>
  <c r="H11" i="24"/>
  <c r="F20" i="24"/>
  <c r="H15" i="24"/>
  <c r="H19" i="18"/>
  <c r="F12" i="18"/>
  <c r="H16" i="21"/>
  <c r="H10" i="22"/>
  <c r="F10" i="22"/>
  <c r="F16" i="20"/>
  <c r="H14" i="16"/>
  <c r="H19" i="16"/>
  <c r="F15" i="16"/>
  <c r="H12" i="16"/>
  <c r="F13" i="17"/>
  <c r="H12" i="21"/>
  <c r="H17" i="18"/>
  <c r="F10" i="19"/>
  <c r="F18" i="19"/>
  <c r="H12" i="18"/>
  <c r="H21" i="22"/>
  <c r="F19" i="24"/>
  <c r="H12" i="24"/>
  <c r="F11" i="16"/>
  <c r="F12" i="16"/>
  <c r="H19" i="22"/>
  <c r="F13" i="16"/>
  <c r="H21" i="18"/>
  <c r="F15" i="21"/>
  <c r="H10" i="18"/>
  <c r="F13" i="18"/>
  <c r="F14" i="16"/>
  <c r="F20" i="18"/>
  <c r="F14" i="24"/>
  <c r="H19" i="24"/>
  <c r="F19" i="19"/>
  <c r="F16" i="16"/>
  <c r="F16" i="24"/>
  <c r="F15" i="17"/>
  <c r="H15" i="20"/>
  <c r="F16" i="18"/>
  <c r="F18" i="18"/>
  <c r="H19" i="20"/>
  <c r="F12" i="19"/>
  <c r="H18" i="19"/>
  <c r="F13" i="19"/>
  <c r="F19" i="18"/>
  <c r="H15" i="19"/>
  <c r="F15" i="18"/>
  <c r="H21" i="24"/>
  <c r="F11" i="18"/>
  <c r="F18" i="16"/>
  <c r="H10" i="19"/>
  <c r="H11" i="21"/>
  <c r="H20" i="24"/>
  <c r="H13" i="18"/>
  <c r="F10" i="24"/>
  <c r="F11" i="19"/>
  <c r="F16" i="17"/>
  <c r="H14" i="19"/>
  <c r="F20" i="19"/>
  <c r="H17" i="19"/>
  <c r="F21" i="24"/>
  <c r="H17" i="24"/>
  <c r="F17" i="18"/>
  <c r="F11" i="22"/>
  <c r="H21" i="19"/>
  <c r="F17" i="19"/>
  <c r="H18" i="18"/>
  <c r="F20" i="22"/>
  <c r="F11" i="24"/>
  <c r="H20" i="18"/>
  <c r="F21" i="18"/>
  <c r="H16" i="22"/>
  <c r="H20" i="19"/>
  <c r="F21" i="19"/>
  <c r="H13" i="16"/>
  <c r="H21" i="16"/>
  <c r="H15" i="18"/>
  <c r="H13" i="21"/>
  <c r="H16" i="18"/>
  <c r="F21" i="16"/>
  <c r="H16" i="24"/>
  <c r="F19" i="22"/>
  <c r="D18" i="21" l="1"/>
  <c r="D18" i="17"/>
  <c r="D18" i="20"/>
  <c r="G18" i="17"/>
  <c r="H9" i="22"/>
  <c r="E9" i="22"/>
  <c r="F9" i="22"/>
  <c r="A2" i="19"/>
  <c r="A2" i="18"/>
  <c r="A2" i="24"/>
  <c r="A2" i="16"/>
  <c r="H9" i="14"/>
  <c r="F9" i="14"/>
  <c r="E9" i="14"/>
  <c r="H9" i="17"/>
  <c r="F9" i="17"/>
  <c r="E9" i="17"/>
  <c r="H9" i="20"/>
  <c r="F9" i="20"/>
  <c r="E9" i="20"/>
  <c r="H9" i="21"/>
  <c r="F9" i="21"/>
  <c r="E9" i="21"/>
  <c r="H9" i="3"/>
  <c r="H16" i="20"/>
  <c r="F19" i="21"/>
  <c r="F18" i="21"/>
  <c r="F18" i="17"/>
  <c r="F18" i="20"/>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2" i="3"/>
  <c r="F13" i="3"/>
  <c r="H16" i="3"/>
  <c r="F16" i="3"/>
  <c r="F14" i="3"/>
  <c r="H14" i="3"/>
  <c r="H13" i="3"/>
  <c r="D12" i="22" l="1"/>
  <c r="D15" i="22"/>
  <c r="H22" i="16"/>
  <c r="G15" i="3" s="1"/>
  <c r="F22" i="16"/>
  <c r="D15" i="3" s="1"/>
  <c r="F15" i="22"/>
  <c r="H12" i="22"/>
  <c r="H15" i="3"/>
  <c r="F15" i="3"/>
  <c r="F22" i="20" l="1"/>
  <c r="D11" i="3" s="1"/>
  <c r="H15" i="22"/>
  <c r="F12" i="22"/>
  <c r="F11" i="3"/>
  <c r="D14" i="22" l="1"/>
  <c r="H22" i="17"/>
  <c r="G12" i="3" s="1"/>
  <c r="H12" i="3"/>
  <c r="F14" i="22"/>
  <c r="F22" i="21" l="1"/>
  <c r="D10" i="3" s="1"/>
  <c r="H14" i="22"/>
  <c r="H19" i="21"/>
  <c r="F10" i="3"/>
  <c r="H18" i="20"/>
  <c r="F14" i="14"/>
  <c r="H14" i="14"/>
  <c r="G20" i="20" l="1"/>
  <c r="D12" i="14"/>
  <c r="D11" i="14"/>
  <c r="D10" i="14"/>
  <c r="D13" i="22"/>
  <c r="G18" i="21"/>
  <c r="F10" i="14"/>
  <c r="F12" i="14"/>
  <c r="H20" i="20"/>
  <c r="F11" i="14"/>
  <c r="H13" i="22"/>
  <c r="H18" i="21"/>
  <c r="D13" i="14" l="1"/>
  <c r="H22" i="21"/>
  <c r="G10" i="3" s="1"/>
  <c r="H22" i="20"/>
  <c r="G11" i="3" s="1"/>
  <c r="F13" i="14"/>
  <c r="F13" i="22"/>
  <c r="H10" i="3"/>
  <c r="H11" i="3"/>
  <c r="G12" i="14" l="1"/>
  <c r="G11" i="14"/>
  <c r="G10" i="14"/>
  <c r="F22" i="14"/>
  <c r="D17" i="3" s="1"/>
  <c r="H10" i="14"/>
  <c r="H12" i="14"/>
  <c r="H11" i="14"/>
  <c r="F17" i="3"/>
  <c r="G13" i="14" l="1"/>
  <c r="F22" i="3"/>
  <c r="H13" i="14"/>
  <c r="D18" i="22" l="1"/>
  <c r="D17" i="22"/>
  <c r="H22" i="14"/>
  <c r="G17" i="3" s="1"/>
  <c r="F17" i="22"/>
  <c r="H18" i="22"/>
  <c r="H17" i="3"/>
  <c r="H22" i="3" l="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BA986AF8-AA41-4E1A-95CB-2EEBDC1356AC}">
      <text>
        <r>
          <rPr>
            <sz val="9"/>
            <color indexed="81"/>
            <rFont val="Tahoma"/>
            <family val="2"/>
          </rPr>
          <t>PV Benchmark Range:     $1172 - $1461            PV+ESS Range:          $1728 - $2365</t>
        </r>
      </text>
    </comment>
    <comment ref="H22" authorId="1" shapeId="0" xr:uid="{49FB7EE7-5CD1-4326-9D79-F19BB0D1E343}">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7747663D-22EB-4480-A6E5-3D2B98835D7E}">
      <text>
        <r>
          <rPr>
            <sz val="9"/>
            <color indexed="81"/>
            <rFont val="Tahoma"/>
            <family val="2"/>
          </rPr>
          <t>Benchmark Range:     $211 - $289</t>
        </r>
      </text>
    </comment>
    <comment ref="H22" authorId="1" shapeId="0" xr:uid="{AF3DF2B6-D95F-4382-B7F1-08EE3A5AFE74}">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A634A87-21E9-4B89-8827-AE4EAD66F7A5}">
      <text>
        <r>
          <rPr>
            <sz val="9"/>
            <color indexed="81"/>
            <rFont val="Tahoma"/>
            <family val="2"/>
          </rPr>
          <t>Benchmark Range:     $35 - $104</t>
        </r>
      </text>
    </comment>
    <comment ref="H22" authorId="1" shapeId="0" xr:uid="{75B90D86-85DD-4745-BB52-EC5CB5708BC7}">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F2DB961-257D-45EC-BD03-30A94E2139A0}">
      <text>
        <r>
          <rPr>
            <sz val="9"/>
            <color indexed="81"/>
            <rFont val="Tahoma"/>
            <family val="2"/>
          </rPr>
          <t>Benchmark Range:     $148 - $272</t>
        </r>
      </text>
    </comment>
    <comment ref="H22" authorId="1" shapeId="0" xr:uid="{80549D1B-F1E0-440F-ACFB-F99E66F3B62E}">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69BD47F-5261-46D9-8CC2-F6F95F96F5B9}">
      <text>
        <r>
          <rPr>
            <sz val="9"/>
            <color indexed="81"/>
            <rFont val="Tahoma"/>
            <family val="2"/>
          </rPr>
          <t>PV Benchmark Range:     $28 - $47            PV+ESS Range:          $30 - $49</t>
        </r>
      </text>
    </comment>
    <comment ref="H22" authorId="1" shapeId="0" xr:uid="{821127B7-A75C-460B-9660-A8DC9ABB5B10}">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C0E52C4-1AD9-46FB-A8C4-3A0D0A0ACF24}">
      <text>
        <r>
          <rPr>
            <sz val="9"/>
            <color indexed="81"/>
            <rFont val="Tahoma"/>
            <family val="2"/>
          </rPr>
          <t>PV Benchmark Range:     $245 - $245            PV+ESS Range:          $245 - $245</t>
        </r>
      </text>
    </comment>
    <comment ref="H22" authorId="1" shapeId="0" xr:uid="{4A58C560-4F86-48AC-9DAF-A8A0D5A8613D}">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CC00D661-33A9-45DF-B14B-7B7C965E83AA}">
      <text>
        <r>
          <rPr>
            <sz val="9"/>
            <color indexed="81"/>
            <rFont val="Tahoma"/>
            <family val="2"/>
          </rPr>
          <t>PV Benchmark Range:     $55 - $97            PV+ESS Range:          $88 - $130</t>
        </r>
      </text>
    </comment>
    <comment ref="H22" authorId="1" shapeId="0" xr:uid="{CAFADEB2-AE4B-48FE-8DB7-9CE52FA8203B}">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4F7B7397-A342-4E95-BF10-100CAF5CF862}">
      <text>
        <r>
          <rPr>
            <sz val="9"/>
            <color indexed="81"/>
            <rFont val="Tahoma"/>
            <family val="2"/>
          </rPr>
          <t>PV Benchmark Range:     $148 - $165            PV+ESS Range:          $148 - $165</t>
        </r>
      </text>
    </comment>
    <comment ref="H22" authorId="1" shapeId="0" xr:uid="{B54EAD7E-0709-4840-881B-73670FAE0107}">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F99183C5-1A47-4C79-879A-DE40BE56BB81}">
      <text>
        <r>
          <rPr>
            <sz val="9"/>
            <color indexed="81"/>
            <rFont val="Tahoma"/>
            <family val="2"/>
          </rPr>
          <t>PV Benchmark Range:     $189 - $236            PV+ESS Range:          $276 - $381</t>
        </r>
      </text>
    </comment>
    <comment ref="H22" authorId="1" shapeId="0" xr:uid="{082F1560-5585-451B-B135-AAD4ACAA8D32}">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F393006F-2CD8-4C12-B967-4DA37E5C9D9F}">
      <text>
        <r>
          <rPr>
            <sz val="9"/>
            <color indexed="81"/>
            <rFont val="Tahoma"/>
            <family val="2"/>
          </rPr>
          <t>PV Benchmark Range:     $17 - $26            PV+ESS Range:          $35 - $57</t>
        </r>
      </text>
    </comment>
    <comment ref="H22" authorId="1" shapeId="0" xr:uid="{C88C039B-3F4C-455D-BE14-A0AFEAA7DF06}">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<sst xmlns="http://schemas.openxmlformats.org/spreadsheetml/2006/main" count="697" uniqueCount="320">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</sst>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236.30170768976666</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154.62728490659774</c:v>
                </c:pt>
                <c:pt idx="1">
                  <c:v>156.86105655509036</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626.62097945205483</c:v>
                </c:pt>
                <c:pt idx="1">
                  <c:v>646.52547945205481</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2791.0136986301372</c:v>
                </c:pt>
                <c:pt idx="1">
                  <c:v>2798.5136986301372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634.34271595968835</c:v>
                </c:pt>
                <c:pt idx="1">
                  <c:v>663.51364647049809</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1.5462728490659774</c:v>
                </c:pt>
                <c:pt idx="1">
                  <c:v>1.5462728490659774</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0.23630170768976666</c:v>
                </c:pt>
                <c:pt idx="1">
                  <c:v>0.23630170768976666</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9.3444987002837898</c:v>
                </c:pt>
                <c:pt idx="1">
                  <c:v>9.3444987002837898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11.680623375354738</c:v>
                </c:pt>
                <c:pt idx="1">
                  <c:v>11.680623375354738</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189.49707477168943</c:v>
                </c:pt>
                <c:pt idx="1">
                  <c:v>189.49707477168943</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46.72</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236.30170768976666</v>
      </c>
      <c r="E10" s="30">
        <v>1</v>
      </c>
      <c r="F10" s="7">
        <f t="shared" ref="F10:F21" si="0">E10*D10*includerow(I10,IncludeESS,IncludeIndirect)</f>
        <v>236.30170768976666</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30.925456981319549</v>
      </c>
      <c r="E13" s="30">
        <f>1/ModuleEfficiency</f>
        <v>5</v>
      </c>
      <c r="F13" s="7">
        <f t="shared" si="0"/>
        <v>154.62728490659774</v>
      </c>
      <c r="G13" s="49">
        <f>SBOSMMP</f>
        <v>31.372211311018074</v>
      </c>
      <c r="H13" s="7">
        <f t="shared" si="1"/>
        <v>156.86105655509036</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125.32419589041098</v>
      </c>
      <c r="E15" s="30">
        <f>1/ModuleEfficiency</f>
        <v>5</v>
      </c>
      <c r="F15" s="7">
        <f t="shared" si="0"/>
        <v>626.62097945205483</v>
      </c>
      <c r="G15" s="49">
        <f>FieldworkMMP</f>
        <v>129.30509589041097</v>
      </c>
      <c r="H15" s="7">
        <f t="shared" si="1"/>
        <v>646.52547945205481</v>
      </c>
      <c r="I15" s="37"/>
      <c r="J15" s="2"/>
      <c r="K15"/>
      <c r="L15"/>
      <c r="M15"/>
      <c r="N15"/>
      <c r="O15"/>
      <c r="P15"/>
      <c r="Q15"/>
      <c r="R15"/>
      <c r="S15"/>
      <c r="T15"/>
    </row>
    <row r="16" spans="1:20" ht="18" customHeight="1">
      <c r="A16" s="13" t="s">
        <v>41</v>
      </c>
      <c r="B16" s="34" t="s">
        <v>82</v>
      </c>
      <c r="C16" s="24" t="str">
        <f>OfficeworkUnit</f>
        <v>kWdc</v>
      </c>
      <c r="D16" s="49">
        <f>OfficeworkMSP</f>
        <v>2791.0136986301372</v>
      </c>
      <c r="E16" s="30">
        <v>1</v>
      </c>
      <c r="F16" s="7">
        <f t="shared" si="0"/>
        <v>2791.0136986301372</v>
      </c>
      <c r="G16" s="49">
        <f>OfficeworkMMP</f>
        <v>2798.5136986301372</v>
      </c>
      <c r="H16" s="7">
        <f t="shared" si="1"/>
        <v>2798.5136986301372</v>
      </c>
      <c r="I16" s="37" t="s">
        <v>83</v>
      </c>
      <c r="J16" s="2"/>
      <c r="K16"/>
      <c r="L16"/>
      <c r="M16"/>
      <c r="N16"/>
      <c r="O16"/>
      <c r="P16"/>
      <c r="Q16"/>
      <c r="R16"/>
      <c r="S16"/>
      <c r="T16"/>
    </row>
    <row r="17" spans="1:20" ht="18" customHeight="1">
      <c r="A17" s="13" t="s">
        <v>11</v>
      </c>
      <c r="B17" s="65" t="s">
        <v>84</v>
      </c>
      <c r="C17" s="24" t="str">
        <f>OtherUnit</f>
        <v>kWdc</v>
      </c>
      <c r="D17" s="49">
        <f>OtherMSP</f>
        <v>634.34271595968835</v>
      </c>
      <c r="E17" s="30">
        <v>1</v>
      </c>
      <c r="F17" s="7">
        <f t="shared" si="0"/>
        <v>634.34271595968835</v>
      </c>
      <c r="G17" s="49">
        <f>OtherMMP</f>
        <v>663.51364647049809</v>
      </c>
      <c r="H17" s="7">
        <f t="shared" si="1"/>
        <v>663.51364647049809</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4672.2493501418949</v>
      </c>
      <c r="G22" s="15" t="s">
        <v>61</v>
      </c>
      <c r="H22" s="8">
        <f>SUM(H10:H21)</f>
        <v>4850.318990596832</v>
      </c>
      <c r="I22"/>
      <c r="J22"/>
    </row>
  </sheetData>
  <sheetProtection algorithmName="SHA-512" hashValue="lB61FAvrPFBnJji9EG/MeVJplqGnTH39TnfwjQawK0WjmPDLeXEtPMv+GE+ZcOXXQ8HpTJVJcBzESlbtkWFDig==" saltValue="jZrQASQstuONjPVj9kTwq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9.7049242887153753</v>
      </c>
      <c r="F11" s="7">
        <f t="shared" si="0"/>
        <v>14.557386433073063</v>
      </c>
      <c r="G11" s="10"/>
      <c r="H11" s="12">
        <f t="shared" si="1"/>
        <v>14.557386433073063</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1.0553419191730506</v>
      </c>
      <c r="F13" s="7">
        <f t="shared" si="0"/>
        <v>6.6486540907902185</v>
      </c>
      <c r="G13" s="10"/>
      <c r="H13" s="12">
        <f t="shared" si="1"/>
        <v>6.6486540907902185</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13.800061723726506</v>
      </c>
      <c r="E18" s="30">
        <v>1</v>
      </c>
      <c r="F18" s="7">
        <f t="shared" si="0"/>
        <v>13.800061723726506</v>
      </c>
      <c r="G18" s="75">
        <f>ModuleMarketPrice-SUM(H10:H17,H19:H21)</f>
        <v>98.192231584980277</v>
      </c>
      <c r="H18" s="12">
        <f t="shared" si="1"/>
        <v>98.192231584980277</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236.30170768976666</v>
      </c>
      <c r="G22" s="15" t="s">
        <v>61</v>
      </c>
      <c r="H22" s="8">
        <f>SUM(H10:H21)</f>
        <v>336</v>
      </c>
      <c r="I22"/>
      <c r="J22"/>
    </row>
    <row r="23" spans="1:10">
      <c r="F23" s="11"/>
    </row>
  </sheetData>
  <sheetProtection algorithmName="SHA-512" hashValue="22g/C7pjFpC6U9dk4nBHf1Fv8kXZIYxB76VG7HneK+8ayn7yKT8hkST6ZU+hkLFu/8McVbyw/CFfZRpAxzmm9A==" saltValue="SxocgOY6HfSRPWi9Gns9o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1gOHytJtML4/Gp5DTH0M2WsSx68J+jVz/hsPSLubItNcIpXxI6djT7gXmqN4y2msZHf+hLduXDx/w+TFEJNKPQ==" saltValue="71FzqQUb8hofl3N0LmODzA=="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8EFQ+Oce2WIBKuDA9iz9Wg+UF3DYRb9V+O1FD3SYTkiKWqArbZ2MSaOdHd8JezsIdyeamdffwaycU3nc2oa/ow==" saltValue="FBv6k9EGLYtdAaNdLL4BV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233.6</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4.1942198312627237E-2</v>
      </c>
      <c r="F11" s="7">
        <f t="shared" si="0"/>
        <v>8.3884396625254478</v>
      </c>
      <c r="G11" s="5"/>
      <c r="H11" s="12">
        <f t="shared" si="1"/>
        <v>8.3884396625254478</v>
      </c>
      <c r="I11" s="61"/>
      <c r="J11" s="2" t="s">
        <v>137</v>
      </c>
    </row>
    <row r="12" spans="1:15" ht="18" customHeight="1">
      <c r="A12" s="13" t="s">
        <v>138</v>
      </c>
      <c r="B12" s="6"/>
      <c r="C12" s="28" t="s">
        <v>89</v>
      </c>
      <c r="D12" s="4">
        <v>2.1</v>
      </c>
      <c r="E12" s="30">
        <f>1/ModuleWidth</f>
        <v>0.64143681847338041</v>
      </c>
      <c r="F12" s="7">
        <f t="shared" si="0"/>
        <v>1.347017318794099</v>
      </c>
      <c r="G12" s="67">
        <f>D12*(1+Tariff301)</f>
        <v>2.625</v>
      </c>
      <c r="H12" s="12">
        <f t="shared" si="1"/>
        <v>1.6837716484926235</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30.925456981319549</v>
      </c>
      <c r="G22" s="15" t="s">
        <v>61</v>
      </c>
      <c r="H22" s="8">
        <f>SUM(H10:H21)</f>
        <v>31.372211311018074</v>
      </c>
      <c r="I22"/>
      <c r="J22"/>
    </row>
    <row r="23" spans="1:10">
      <c r="F23" s="11"/>
    </row>
  </sheetData>
  <sheetProtection algorithmName="SHA-512" hashValue="7b5uqhfFIE7oZUiphvVCTlguFG9GKNd+3OK4I27cQjkNewNstsIXvsfOULqsKBtVBP/HLIuHGVYGmwPAI1aD3Q==" saltValue="rhjL5dZ8gOp9YseieMaPZQ=="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34.102189781021892</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bN66ey8WP4tBuy90v1lzQnWMqS9WtOfGZS5nHiG6OMVt9HTiiI0MpbYXY594hL94np0kl9lRoXcM4sqd0eb31Q==" saltValue="RIK3QXsDiKRWUmK6+ACyw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233.6</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22.982876712328768</v>
      </c>
      <c r="G13" s="5"/>
      <c r="H13" s="12">
        <f t="shared" si="1"/>
        <v>22.982876712328768</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42.80821917808219</v>
      </c>
      <c r="G15" s="4"/>
      <c r="H15" s="12">
        <f t="shared" si="1"/>
        <v>42.80821917808219</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125.32419589041098</v>
      </c>
      <c r="G22" s="15" t="s">
        <v>61</v>
      </c>
      <c r="H22" s="8">
        <f>SUM(H10:H21)</f>
        <v>129.30509589041097</v>
      </c>
      <c r="I22"/>
      <c r="J22"/>
    </row>
    <row r="23" spans="1:10">
      <c r="F23" s="11"/>
    </row>
  </sheetData>
  <sheetProtection algorithmName="SHA-512" hashValue="ape7uYEZruecFPFzuZ7us5cutX6d1dE4vTPLRWiKddC2cMX/Agm0wAFgHCdWY+BM7zWtylkXKYPyg7JwuYlfxA==" saltValue="DaIay2myxAbyIPzoXYv1o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46.72</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1523.2876712328768</v>
      </c>
      <c r="G12" s="5"/>
      <c r="H12" s="12">
        <f t="shared" si="1"/>
        <v>1523.2876712328768</v>
      </c>
      <c r="I12" s="37"/>
      <c r="J12" s="2" t="s">
        <v>302</v>
      </c>
    </row>
    <row r="13" spans="1:15" ht="18" customHeight="1">
      <c r="A13" s="13" t="s">
        <v>163</v>
      </c>
      <c r="B13" s="6">
        <v>25000</v>
      </c>
      <c r="C13" s="28"/>
      <c r="D13" s="4"/>
      <c r="E13" s="30"/>
      <c r="F13" s="7">
        <f t="shared" si="0"/>
        <v>535.10273972602738</v>
      </c>
      <c r="G13" s="5"/>
      <c r="H13" s="12">
        <f t="shared" si="1"/>
        <v>535.10273972602738</v>
      </c>
      <c r="I13" s="37"/>
      <c r="J13" s="2" t="s">
        <v>164</v>
      </c>
    </row>
    <row r="14" spans="1:15" ht="18" customHeight="1">
      <c r="A14" s="13" t="s">
        <v>303</v>
      </c>
      <c r="B14" s="6">
        <v>30000</v>
      </c>
      <c r="C14" s="28" t="s">
        <v>22</v>
      </c>
      <c r="D14" s="4">
        <v>60</v>
      </c>
      <c r="E14" s="30">
        <v>1</v>
      </c>
      <c r="F14" s="7">
        <f t="shared" si="0"/>
        <v>702.1232876712329</v>
      </c>
      <c r="G14" s="5"/>
      <c r="H14" s="12">
        <f t="shared" si="1"/>
        <v>702.1232876712329</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2791.0136986301372</v>
      </c>
      <c r="G22" s="15" t="s">
        <v>61</v>
      </c>
      <c r="H22" s="8">
        <f>SUM(H10:H21)</f>
        <v>2798.5136986301372</v>
      </c>
      <c r="I22"/>
      <c r="J22"/>
    </row>
    <row r="23" spans="1:10">
      <c r="F23" s="11"/>
    </row>
  </sheetData>
  <sheetProtection algorithmName="SHA-512" hashValue="kPPLgxU2DGEkMALUHJpQh6exZBbOA540YIqEfF9K9Lnmifaj6opDLOQe/Wj6GbvChTd5oDn9qmnV5Dqm21dgdw==" saltValue="18hwKm1Bizidlm1ghrMS8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35.975773453800812</v>
      </c>
      <c r="E10" s="30">
        <v>1</v>
      </c>
      <c r="F10" s="7">
        <f t="shared" ref="F10:F21" si="0">($B10/$A$3+$E10*$D10)*includerow($I10,IncludeESS,IncludeIndirect)</f>
        <v>35.975773453800812</v>
      </c>
      <c r="G10" s="67">
        <f>B10/$A$3+(SysModuleMMP+SysInverterMMP+SysESSMMP+SysSBOSMMP+SysEBOSMMP)*SalesTaxRate</f>
        <v>43.022437630560212</v>
      </c>
      <c r="H10" s="12">
        <f t="shared" ref="H10:H21" si="1">IF($G10&lt;&gt;0,$G10*$E10*includerow($I10,IncludeESS,IncludeIndirect),($B10/$A$3+$D10*$E10)*includerow($I10,IncludeESS,IncludeIndirect))</f>
        <v>43.022437630560212</v>
      </c>
      <c r="I10" s="37"/>
      <c r="J10" s="2" t="s">
        <v>167</v>
      </c>
    </row>
    <row r="11" spans="1:15" ht="18" customHeight="1">
      <c r="A11" s="13" t="s">
        <v>168</v>
      </c>
      <c r="B11" s="6"/>
      <c r="C11" s="28" t="s">
        <v>22</v>
      </c>
      <c r="D11" s="66">
        <f>(SysModuleMSP+SysInverterMSP+SysESSMSP+SysSBOSMSP+SysEBOSMSP+SysFieldworkMSP+SysOfficeworkMSP)*ContingencyRate</f>
        <v>201.89533170911034</v>
      </c>
      <c r="E11" s="30">
        <v>1</v>
      </c>
      <c r="F11" s="7">
        <f t="shared" si="0"/>
        <v>201.89533170911034</v>
      </c>
      <c r="G11" s="67">
        <f>B11/$A$3+(SysModuleMMP+SysInverterMMP+SysESSMMP+SysSBOSMMP+SysEBOSMMP+SysFieldworkMMP+SysOfficeworkMMP)*ContingencyRate</f>
        <v>209.3402672063167</v>
      </c>
      <c r="H11" s="12">
        <f t="shared" si="1"/>
        <v>209.3402672063167</v>
      </c>
      <c r="I11" s="37"/>
      <c r="J11" s="2" t="s">
        <v>169</v>
      </c>
    </row>
    <row r="12" spans="1:15" ht="18" customHeight="1">
      <c r="A12" s="13" t="s">
        <v>170</v>
      </c>
      <c r="B12" s="6">
        <v>1000000</v>
      </c>
      <c r="C12" s="28" t="s">
        <v>22</v>
      </c>
      <c r="D12" s="66">
        <f>(SysModuleMSP+SysInverterMSP+SysESSMSP+SysSBOSMSP+SysEBOSMSP+SysFieldworkMSP+SysOfficeworkMSP)*OverheadRate</f>
        <v>40.37906634182206</v>
      </c>
      <c r="E12" s="30">
        <v>1</v>
      </c>
      <c r="F12" s="7">
        <f t="shared" si="0"/>
        <v>50.37906634182206</v>
      </c>
      <c r="G12" s="67">
        <f>B12/$A$3+(SysModuleMMP+SysInverterMMP+SysESSMMP+SysSBOSMMP+SysEBOSMMP+SysFieldworkMMP+SysOfficeworkMMP)*OverheadRate</f>
        <v>51.868053441263335</v>
      </c>
      <c r="H12" s="12">
        <f t="shared" si="1"/>
        <v>51.868053441263335</v>
      </c>
      <c r="I12" s="37"/>
      <c r="J12" s="2" t="s">
        <v>171</v>
      </c>
    </row>
    <row r="13" spans="1:15" ht="18" customHeight="1">
      <c r="A13" s="13" t="s">
        <v>107</v>
      </c>
      <c r="B13" s="6"/>
      <c r="C13" s="28" t="s">
        <v>22</v>
      </c>
      <c r="D13" s="66">
        <f>( SysModuleMSP+ SysInverterMSP+ SysESSMSP+ SysSBOSMSP+ SysEBOSMSP+ SysFieldworkMSP+ SysOfficeworkMSP+SUM(F10:F12))* DeveloperProfitMSP</f>
        <v>346.09254445495515</v>
      </c>
      <c r="E13" s="30">
        <v>1</v>
      </c>
      <c r="F13" s="7">
        <f t="shared" si="0"/>
        <v>346.09254445495515</v>
      </c>
      <c r="G13" s="67">
        <f>B13/$A$3+(SysModuleMMP+SysInverterMMP+SysESSMMP+SysSBOSMMP+SysEBOSMMP+SysFieldworkMMP+SysOfficeworkMMP+SUM(H10:H12))*DeveloperProfitMMP</f>
        <v>359.28288819235792</v>
      </c>
      <c r="H13" s="12">
        <f t="shared" si="1"/>
        <v>359.28288819235792</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634.34271595968835</v>
      </c>
      <c r="G22" s="15" t="s">
        <v>61</v>
      </c>
      <c r="H22" s="8">
        <f>SUM(H10:H21)</f>
        <v>663.51364647049809</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X+xsWMme6VKW/0aZskYMv+/mcKXUdKVfFFCBQbhM1+vnmhITABPiAAEsY4bonPgsXD8G/zatVn+JDmDf63WkFg==" saltValue="A2jGpZ1K3fcp+UEwedshn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46.72</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154.62728490659774</v>
      </c>
      <c r="E12" s="30">
        <f>PartsLossRate/ModuleEfficiency</f>
        <v>0.01</v>
      </c>
      <c r="F12" s="7">
        <f t="shared" si="0"/>
        <v>1.5462728490659774</v>
      </c>
      <c r="G12" s="5"/>
      <c r="H12" s="12">
        <f t="shared" si="1"/>
        <v>1.5462728490659774</v>
      </c>
      <c r="I12" s="37"/>
      <c r="J12" s="2" t="s">
        <v>178</v>
      </c>
    </row>
    <row r="13" spans="1:15" ht="18" customHeight="1">
      <c r="A13" s="13" t="s">
        <v>179</v>
      </c>
      <c r="B13" s="6"/>
      <c r="C13" s="28" t="s">
        <v>22</v>
      </c>
      <c r="D13" s="66">
        <f>SysModuleMSP</f>
        <v>236.30170768976666</v>
      </c>
      <c r="E13" s="30">
        <f>ModuleLossRate</f>
        <v>1E-3</v>
      </c>
      <c r="F13" s="7">
        <f t="shared" si="0"/>
        <v>0.23630170768976666</v>
      </c>
      <c r="G13" s="5"/>
      <c r="H13" s="12">
        <f t="shared" si="1"/>
        <v>0.23630170768976666</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9.3444987002837898</v>
      </c>
      <c r="E17" s="30">
        <f>IncludeIndirect*1</f>
        <v>1</v>
      </c>
      <c r="F17" s="7">
        <f t="shared" si="0"/>
        <v>9.3444987002837898</v>
      </c>
      <c r="G17" s="4"/>
      <c r="H17" s="12">
        <f t="shared" si="1"/>
        <v>9.3444987002837898</v>
      </c>
      <c r="I17" s="37" t="s">
        <v>83</v>
      </c>
      <c r="J17" s="2" t="s">
        <v>189</v>
      </c>
    </row>
    <row r="18" spans="1:10" ht="18" customHeight="1">
      <c r="A18" s="13" t="s">
        <v>190</v>
      </c>
      <c r="B18" s="6"/>
      <c r="C18" s="29" t="s">
        <v>188</v>
      </c>
      <c r="D18" s="66">
        <f>SystemMSP*InsuranceRate</f>
        <v>11.680623375354738</v>
      </c>
      <c r="E18" s="30">
        <f>IncludeIndirect*1</f>
        <v>1</v>
      </c>
      <c r="F18" s="7">
        <f t="shared" si="0"/>
        <v>11.680623375354738</v>
      </c>
      <c r="G18" s="4"/>
      <c r="H18" s="12">
        <f t="shared" si="1"/>
        <v>11.680623375354738</v>
      </c>
      <c r="I18" s="37" t="s">
        <v>83</v>
      </c>
      <c r="J18" s="2" t="s">
        <v>305</v>
      </c>
    </row>
    <row r="19" spans="1:10" ht="18" customHeight="1">
      <c r="A19" s="13" t="s">
        <v>170</v>
      </c>
      <c r="B19" s="6">
        <v>8853.3033333333296</v>
      </c>
      <c r="C19" s="29"/>
      <c r="D19" s="4"/>
      <c r="E19" s="30"/>
      <c r="F19" s="7">
        <f t="shared" si="0"/>
        <v>189.49707477168943</v>
      </c>
      <c r="G19" s="4"/>
      <c r="H19" s="12">
        <f t="shared" si="1"/>
        <v>189.49707477168943</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223.53082708810166</v>
      </c>
      <c r="G22" s="15" t="s">
        <v>61</v>
      </c>
      <c r="H22" s="8">
        <f>SUM(H10:H21)</f>
        <v>223.53082708810166</v>
      </c>
      <c r="I22"/>
      <c r="J22"/>
    </row>
    <row r="23" spans="1:10">
      <c r="F23" s="11"/>
    </row>
  </sheetData>
  <sheetProtection algorithmName="SHA-512" hashValue="sawbAT4W0Oo5qgF0I4ZKycyOmwHyT/LxzA5BmNEbHc/Mlyu/QwQCqBgjOkRPd7R2y1gEtL79MswtxU9IlWSREQ==" saltValue="w2nGtzMQ0FIZk9HjgF1md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3.0390000000000001</v>
      </c>
      <c r="D10" s="37" t="s">
        <v>89</v>
      </c>
      <c r="E10" s="59" t="str">
        <f t="shared" si="0"/>
        <v>/</v>
      </c>
      <c r="F10" s="37"/>
      <c r="G10" s="58"/>
      <c r="H10" s="2"/>
    </row>
    <row r="11" spans="1:8">
      <c r="A11" s="13" t="s">
        <v>1</v>
      </c>
      <c r="B11" s="13" t="s">
        <v>203</v>
      </c>
      <c r="C11" s="2">
        <v>1.5589999999999999</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SwdCUzHq1fp84/jOtc9AM4sMVLnlsPH7UwCGPsXJc+cWQuBeqMQ0R8/3eiYvf2bcKMqByyRNO2OhQCemQhSAqA==" saltValue="SfDPsZ1glmxqbS7m/QNXpw=="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2026-04-12T03:22:59Z</dcterms:modified>
</cp:coreProperties>
</file>