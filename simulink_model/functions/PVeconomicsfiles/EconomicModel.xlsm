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EAC64458-00EF-4656-B21D-9A624E04B86C}" xr6:coauthVersionLast="47" xr6:coauthVersionMax="47" xr10:uidLastSave="{00000000-0000-0000-0000-000000000000}"/>
  <bookViews>
    <workbookView xWindow="9600" yWindow="3890" windowWidth="28800" windowHeight="1546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C16"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H11" i="17"/>
  <c r="H15" i="17"/>
  <c r="F20" i="14"/>
  <c r="H13" i="20"/>
  <c r="H21" i="3"/>
  <c r="F17" i="20"/>
  <c r="F10" i="17"/>
  <c r="F14" i="17"/>
  <c r="F10" i="20"/>
  <c r="H20" i="17"/>
  <c r="H10" i="24"/>
  <c r="F16" i="14"/>
  <c r="F11" i="20"/>
  <c r="F11" i="17"/>
  <c r="H15" i="21"/>
  <c r="H20" i="21"/>
  <c r="F15" i="20"/>
  <c r="F19" i="17"/>
  <c r="H14" i="20"/>
  <c r="H17" i="20"/>
  <c r="F10" i="21"/>
  <c r="F21" i="14"/>
  <c r="H13" i="19"/>
  <c r="F18" i="14"/>
  <c r="F21" i="22"/>
  <c r="H17" i="14"/>
  <c r="F20" i="3"/>
  <c r="H12" i="19"/>
  <c r="F13" i="20"/>
  <c r="H19" i="3"/>
  <c r="H21" i="21"/>
  <c r="H17" i="21"/>
  <c r="F21" i="20"/>
  <c r="F20" i="16"/>
  <c r="H12" i="20"/>
  <c r="F14" i="21"/>
  <c r="H17" i="17"/>
  <c r="F17" i="24"/>
  <c r="F19" i="3"/>
  <c r="F20" i="17"/>
  <c r="H10" i="17"/>
  <c r="F17" i="17"/>
  <c r="H15" i="14"/>
  <c r="F19" i="14"/>
  <c r="F13" i="21"/>
  <c r="H21" i="14"/>
  <c r="F20" i="20"/>
  <c r="F17" i="21"/>
  <c r="F21" i="21"/>
  <c r="F21" i="17"/>
  <c r="H14" i="18"/>
  <c r="F12" i="17"/>
  <c r="H11" i="18"/>
  <c r="H20" i="14"/>
  <c r="F17" i="14"/>
  <c r="F16" i="21"/>
  <c r="H11" i="16"/>
  <c r="F10" i="18"/>
  <c r="F18" i="3"/>
  <c r="F21" i="3"/>
  <c r="H19" i="14"/>
  <c r="H10" i="20"/>
  <c r="H11" i="20"/>
  <c r="H21" i="17"/>
  <c r="H18" i="14"/>
  <c r="F20" i="21"/>
  <c r="F15" i="14"/>
  <c r="H21" i="20"/>
  <c r="F15" i="19"/>
  <c r="H12" i="17"/>
  <c r="H13" i="17"/>
  <c r="H10" i="16"/>
  <c r="F12" i="21"/>
  <c r="H18" i="3"/>
  <c r="H20" i="3"/>
  <c r="F19" i="20"/>
  <c r="H16" i="14"/>
  <c r="F12" i="20"/>
  <c r="F11" i="21"/>
  <c r="H16" i="17"/>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3" i="19"/>
  <c r="F19" i="19"/>
  <c r="F20" i="22"/>
  <c r="F19" i="16"/>
  <c r="F18" i="18"/>
  <c r="H14" i="24"/>
  <c r="H20" i="19"/>
  <c r="H19" i="16"/>
  <c r="H13" i="16"/>
  <c r="F15" i="16"/>
  <c r="H21" i="19"/>
  <c r="F20" i="19"/>
  <c r="H20" i="16"/>
  <c r="H15" i="24"/>
  <c r="F11" i="22"/>
  <c r="F18" i="19"/>
  <c r="H16" i="24"/>
  <c r="H10" i="22"/>
  <c r="H11" i="19"/>
  <c r="H20" i="22"/>
  <c r="F16" i="17"/>
  <c r="F16" i="24"/>
  <c r="H14" i="19"/>
  <c r="F15" i="18"/>
  <c r="H10" i="21"/>
  <c r="H12" i="21"/>
  <c r="H17" i="16"/>
  <c r="F14" i="20"/>
  <c r="F19" i="18"/>
  <c r="H10" i="18"/>
  <c r="H19" i="19"/>
  <c r="H18" i="16"/>
  <c r="F16" i="20"/>
  <c r="F10" i="24"/>
  <c r="H19" i="17"/>
  <c r="H17" i="18"/>
  <c r="F10" i="16"/>
  <c r="H16" i="16"/>
  <c r="F18" i="16"/>
  <c r="H21" i="24"/>
  <c r="F15" i="24"/>
  <c r="H14" i="16"/>
  <c r="H15" i="20"/>
  <c r="F13" i="18"/>
  <c r="F11" i="16"/>
  <c r="H18" i="24"/>
  <c r="F12" i="16"/>
  <c r="F14" i="16"/>
  <c r="F16" i="16"/>
  <c r="H18" i="18"/>
  <c r="F14" i="18"/>
  <c r="H21" i="18"/>
  <c r="F14" i="24"/>
  <c r="H16" i="19"/>
  <c r="H20" i="24"/>
  <c r="F17" i="16"/>
  <c r="H12" i="16"/>
  <c r="H15" i="16"/>
  <c r="F21" i="24"/>
  <c r="H12" i="18"/>
  <c r="F19" i="22"/>
  <c r="F16" i="18"/>
  <c r="H11" i="22"/>
  <c r="F17" i="19"/>
  <c r="H14" i="21"/>
  <c r="F11" i="24"/>
  <c r="F20" i="24"/>
  <c r="H19" i="24"/>
  <c r="H19" i="20"/>
  <c r="F10" i="19"/>
  <c r="H17" i="24"/>
  <c r="F12" i="24"/>
  <c r="H16" i="18"/>
  <c r="F12" i="18"/>
  <c r="H13" i="21"/>
  <c r="F10" i="22"/>
  <c r="F19" i="24"/>
  <c r="F16" i="22"/>
  <c r="F13" i="16"/>
  <c r="F14" i="19"/>
  <c r="H16" i="21"/>
  <c r="H16" i="22"/>
  <c r="H20" i="18"/>
  <c r="H13" i="24"/>
  <c r="H19" i="22"/>
  <c r="H14" i="17"/>
  <c r="F13" i="17"/>
  <c r="F18" i="24"/>
  <c r="H21" i="16"/>
  <c r="F21" i="19"/>
  <c r="F11" i="19"/>
  <c r="H19" i="18"/>
  <c r="F15" i="17"/>
  <c r="H15" i="18"/>
  <c r="F12" i="19"/>
  <c r="H17" i="19"/>
  <c r="F11" i="18"/>
  <c r="H13" i="18"/>
  <c r="H10" i="19"/>
  <c r="F20" i="18"/>
  <c r="H15" i="19"/>
  <c r="H21" i="22"/>
  <c r="H11" i="24"/>
  <c r="H12" i="24"/>
  <c r="F15" i="21"/>
  <c r="F21" i="18"/>
  <c r="F17" i="18"/>
  <c r="F13" i="24"/>
  <c r="H11" i="21"/>
  <c r="F16" i="19"/>
  <c r="F21" i="16"/>
  <c r="H18" i="19"/>
  <c r="D18" i="21" l="1"/>
  <c r="D18" i="17"/>
  <c r="G18" i="17"/>
  <c r="D18" i="20"/>
  <c r="H9" i="22"/>
  <c r="E9" i="22"/>
  <c r="F9" i="22"/>
  <c r="A2" i="19"/>
  <c r="A2" i="18"/>
  <c r="A2" i="24"/>
  <c r="A2" i="16"/>
  <c r="H9" i="14"/>
  <c r="F9" i="14"/>
  <c r="E9" i="14"/>
  <c r="H9" i="17"/>
  <c r="F9" i="17"/>
  <c r="E9" i="17"/>
  <c r="H9" i="20"/>
  <c r="F9" i="20"/>
  <c r="E9" i="20"/>
  <c r="H9" i="21"/>
  <c r="F9" i="21"/>
  <c r="E9" i="21"/>
  <c r="H9" i="3"/>
  <c r="F19" i="21"/>
  <c r="H16" i="20"/>
  <c r="H18" i="17"/>
  <c r="F18" i="20"/>
  <c r="F18" i="17"/>
  <c r="F18" i="21"/>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F14" i="3"/>
  <c r="H16" i="3"/>
  <c r="F16" i="3"/>
  <c r="H13" i="3"/>
  <c r="F13" i="3"/>
  <c r="F12" i="3"/>
  <c r="H14" i="3"/>
  <c r="D15" i="22" l="1"/>
  <c r="D12" i="22"/>
  <c r="H22" i="16"/>
  <c r="G15" i="3" s="1"/>
  <c r="F22" i="16"/>
  <c r="D15" i="3" s="1"/>
  <c r="H12" i="22"/>
  <c r="H15" i="3"/>
  <c r="F15" i="3"/>
  <c r="F15" i="22"/>
  <c r="F22" i="20" l="1"/>
  <c r="D11" i="3" s="1"/>
  <c r="H15" i="22"/>
  <c r="F12" i="22"/>
  <c r="F11" i="3"/>
  <c r="D14" i="22" l="1"/>
  <c r="H22" i="17"/>
  <c r="G12" i="3" s="1"/>
  <c r="H12" i="3"/>
  <c r="F14" i="22"/>
  <c r="F22" i="21" l="1"/>
  <c r="D10" i="3" s="1"/>
  <c r="F14" i="14"/>
  <c r="H19" i="21"/>
  <c r="H14" i="14"/>
  <c r="H14" i="22"/>
  <c r="H18" i="20"/>
  <c r="F10" i="3"/>
  <c r="D12" i="14" l="1"/>
  <c r="D11" i="14"/>
  <c r="D10" i="14"/>
  <c r="D13" i="22"/>
  <c r="G20" i="20"/>
  <c r="G18" i="21"/>
  <c r="F10" i="14"/>
  <c r="F11" i="14"/>
  <c r="F12" i="14"/>
  <c r="H20" i="20"/>
  <c r="H18" i="21"/>
  <c r="H13" i="22"/>
  <c r="D13" i="14" l="1"/>
  <c r="H22" i="21"/>
  <c r="G10" i="3" s="1"/>
  <c r="H22" i="20"/>
  <c r="G11" i="3" s="1"/>
  <c r="F13" i="14"/>
  <c r="F13" i="22"/>
  <c r="H11" i="3"/>
  <c r="H10" i="3"/>
  <c r="G12" i="14" l="1"/>
  <c r="G11" i="14"/>
  <c r="G10" i="14"/>
  <c r="F22" i="14"/>
  <c r="D17" i="3" s="1"/>
  <c r="H11" i="14"/>
  <c r="H12" i="14"/>
  <c r="H10" i="14"/>
  <c r="F17" i="3"/>
  <c r="G13" i="14" l="1"/>
  <c r="F22" i="3"/>
  <c r="H13" i="14"/>
  <c r="D18" i="22" l="1"/>
  <c r="D17" i="22"/>
  <c r="H22" i="14"/>
  <c r="G17" i="3" s="1"/>
  <c r="F17" i="22"/>
  <c r="H17" i="3"/>
  <c r="F18" i="22"/>
  <c r="F22" i="22" l="1"/>
  <c r="H22" i="3"/>
  <c r="H17" i="22"/>
  <c r="H18" i="22"/>
  <c r="H22"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4E5ABA4E-1F19-4C3E-994F-67F0C3EE0174}">
      <text>
        <r>
          <rPr>
            <sz val="9"/>
            <color indexed="81"/>
            <rFont val="Tahoma"/>
            <family val="2"/>
          </rPr>
          <t>PV Benchmark Range:     $1172 - $1461            PV+ESS Range:          $1728 - $2365</t>
        </r>
      </text>
    </comment>
    <comment ref="H22" authorId="1" shapeId="0" xr:uid="{44E32C78-5445-4021-A789-3F14399EB258}">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AB34D2D7-A538-4A15-B7D8-02FB1ACA8DB9}">
      <text>
        <r>
          <rPr>
            <sz val="9"/>
            <color indexed="81"/>
            <rFont val="Tahoma"/>
            <family val="2"/>
          </rPr>
          <t>Benchmark Range:     $211 - $289</t>
        </r>
      </text>
    </comment>
    <comment ref="H22" authorId="1" shapeId="0" xr:uid="{65DF8188-8FFD-4EF5-8565-83EA14C10213}">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9254EB0D-3029-462C-A9CC-85C4792B9EFE}">
      <text>
        <r>
          <rPr>
            <sz val="9"/>
            <color indexed="81"/>
            <rFont val="Tahoma"/>
            <family val="2"/>
          </rPr>
          <t>Benchmark Range:     $35 - $104</t>
        </r>
      </text>
    </comment>
    <comment ref="H22" authorId="1" shapeId="0" xr:uid="{A4878E6F-3706-4B63-920B-50877B55326F}">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EF35DCD0-2AF7-4404-B6EA-815F942F97DE}">
      <text>
        <r>
          <rPr>
            <sz val="9"/>
            <color indexed="81"/>
            <rFont val="Tahoma"/>
            <family val="2"/>
          </rPr>
          <t>Benchmark Range:     $148 - $272</t>
        </r>
      </text>
    </comment>
    <comment ref="H22" authorId="1" shapeId="0" xr:uid="{2E30BD40-8A95-40EF-939C-2E05D8251251}">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D303D093-DD8F-4CD7-B8E6-B55A3F5FC373}">
      <text>
        <r>
          <rPr>
            <sz val="9"/>
            <color indexed="81"/>
            <rFont val="Tahoma"/>
            <family val="2"/>
          </rPr>
          <t>PV Benchmark Range:     $28 - $47            PV+ESS Range:          $30 - $49</t>
        </r>
      </text>
    </comment>
    <comment ref="H22" authorId="1" shapeId="0" xr:uid="{B5F121EF-FA69-4836-AD69-32EF46F556D2}">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490350C1-F9ED-49E4-B74F-380C78E54F05}">
      <text>
        <r>
          <rPr>
            <sz val="9"/>
            <color indexed="81"/>
            <rFont val="Tahoma"/>
            <family val="2"/>
          </rPr>
          <t>PV Benchmark Range:     $245 - $245            PV+ESS Range:          $245 - $245</t>
        </r>
      </text>
    </comment>
    <comment ref="H22" authorId="1" shapeId="0" xr:uid="{39FEE29F-1E4C-415D-8755-7EDCF09BE6AE}">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DF367A0A-6997-4844-A97D-8694925CEC9A}">
      <text>
        <r>
          <rPr>
            <sz val="9"/>
            <color indexed="81"/>
            <rFont val="Tahoma"/>
            <family val="2"/>
          </rPr>
          <t>PV Benchmark Range:     $55 - $97            PV+ESS Range:          $88 - $130</t>
        </r>
      </text>
    </comment>
    <comment ref="H22" authorId="1" shapeId="0" xr:uid="{A98E2145-D0DE-49FD-B9C1-990BD52179F4}">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EC0152E4-5300-4076-8279-7514047D7A7D}">
      <text>
        <r>
          <rPr>
            <sz val="9"/>
            <color indexed="81"/>
            <rFont val="Tahoma"/>
            <family val="2"/>
          </rPr>
          <t>PV Benchmark Range:     $148 - $165            PV+ESS Range:          $148 - $165</t>
        </r>
      </text>
    </comment>
    <comment ref="H22" authorId="1" shapeId="0" xr:uid="{0D5FD635-FA93-4EA2-9E03-9DE7BCB3E278}">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6D4A8EE3-3E9E-43DF-AD15-AD37E68DA5CF}">
      <text>
        <r>
          <rPr>
            <sz val="9"/>
            <color indexed="81"/>
            <rFont val="Tahoma"/>
            <family val="2"/>
          </rPr>
          <t>PV Benchmark Range:     $189 - $236            PV+ESS Range:          $276 - $381</t>
        </r>
      </text>
    </comment>
    <comment ref="H22" authorId="1" shapeId="0" xr:uid="{22734EF5-8D6B-4CA2-BB63-59D4CFA87D0D}">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DBB3E258-FF6E-4679-A50F-A6BEB6E09093}">
      <text>
        <r>
          <rPr>
            <sz val="9"/>
            <color indexed="81"/>
            <rFont val="Tahoma"/>
            <family val="2"/>
          </rPr>
          <t>PV Benchmark Range:     $17 - $26            PV+ESS Range:          $35 - $57</t>
        </r>
      </text>
    </comment>
    <comment ref="H22" authorId="1" shapeId="0" xr:uid="{F2060093-ADFE-445B-8268-6F371469E2B1}">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<sst xmlns="http://schemas.openxmlformats.org/spreadsheetml/2006/main" count="697" uniqueCount="320">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</sst>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232.66092719076283</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147.59274713540077</c:v>
                </c:pt>
                <c:pt idx="1">
                  <c:v>149.62999926004665</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382.62952877697842</c:v>
                </c:pt>
                <c:pt idx="1">
                  <c:v>402.5340287769784</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531.83359978683723</c:v>
                </c:pt>
                <c:pt idx="1">
                  <c:v>539.33359978683723</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269.66898756745701</c:v>
                </c:pt>
                <c:pt idx="1">
                  <c:v>299.55439557495333</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1.4759274713540078</c:v>
                </c:pt>
                <c:pt idx="1">
                  <c:v>1.4759274713540078</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0.23266092719076284</c:v>
                </c:pt>
                <c:pt idx="1">
                  <c:v>0.23266092719076284</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3.587457507922172</c:v>
                </c:pt>
                <c:pt idx="1">
                  <c:v>3.587457507922172</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4.4843218849027151</c:v>
                </c:pt>
                <c:pt idx="1">
                  <c:v>4.4843218849027151</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29.487421174171761</c:v>
                </c:pt>
                <c:pt idx="1">
                  <c:v>29.487421174171761</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9" sqref="A9"/>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300.24</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232.66092719076283</v>
      </c>
      <c r="E10" s="30">
        <v>1</v>
      </c>
      <c r="F10" s="7">
        <f t="shared" ref="F10:F21" si="0">E10*D10*includerow(I10,IncludeESS,IncludeIndirect)</f>
        <v>232.66092719076283</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29.518549427080153</v>
      </c>
      <c r="E13" s="30">
        <f>1/ModuleEfficiency</f>
        <v>5</v>
      </c>
      <c r="F13" s="7">
        <f t="shared" si="0"/>
        <v>147.59274713540077</v>
      </c>
      <c r="G13" s="49">
        <f>SBOSMMP</f>
        <v>29.92599985200933</v>
      </c>
      <c r="H13" s="7">
        <f t="shared" si="1"/>
        <v>149.62999926004665</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76.525905755395684</v>
      </c>
      <c r="E15" s="30">
        <f>1/ModuleEfficiency</f>
        <v>5</v>
      </c>
      <c r="F15" s="7">
        <f t="shared" si="0"/>
        <v>382.62952877697842</v>
      </c>
      <c r="G15" s="49">
        <f>FieldworkMMP</f>
        <v>80.506805755395675</v>
      </c>
      <c r="H15" s="7">
        <f t="shared" si="1"/>
        <v>402.5340287769784</v>
      </c>
      <c r="I15" s="37"/>
      <c r="J15" s="2"/>
      <c r="K15"/>
      <c r="L15"/>
      <c r="M15"/>
      <c r="N15"/>
      <c r="O15"/>
      <c r="P15"/>
      <c r="Q15"/>
      <c r="R15"/>
      <c r="S15"/>
      <c r="T15"/>
    </row>
    <row r="16" spans="1:20" ht="18" customHeight="1">
      <c r="A16" s="13" t="s">
        <v>41</v>
      </c>
      <c r="B16" s="34" t="s">
        <v>82</v>
      </c>
      <c r="C16" s="24" t="str">
        <f>OfficeworkUnit</f>
        <v>kWdc</v>
      </c>
      <c r="D16" s="49">
        <f>OfficeworkMSP</f>
        <v>531.83359978683723</v>
      </c>
      <c r="E16" s="30">
        <v>1</v>
      </c>
      <c r="F16" s="7">
        <f t="shared" si="0"/>
        <v>531.83359978683723</v>
      </c>
      <c r="G16" s="49">
        <f>OfficeworkMMP</f>
        <v>539.33359978683723</v>
      </c>
      <c r="H16" s="7">
        <f t="shared" si="1"/>
        <v>539.33359978683723</v>
      </c>
      <c r="I16" s="37" t="s">
        <v>83</v>
      </c>
      <c r="J16" s="2"/>
      <c r="K16"/>
      <c r="L16"/>
      <c r="M16"/>
      <c r="N16"/>
      <c r="O16"/>
      <c r="P16"/>
      <c r="Q16"/>
      <c r="R16"/>
      <c r="S16"/>
      <c r="T16"/>
    </row>
    <row r="17" spans="1:20" ht="18" customHeight="1">
      <c r="A17" s="13" t="s">
        <v>11</v>
      </c>
      <c r="B17" s="65" t="s">
        <v>84</v>
      </c>
      <c r="C17" s="24" t="str">
        <f>OtherUnit</f>
        <v>kWdc</v>
      </c>
      <c r="D17" s="49">
        <f>OtherMSP</f>
        <v>269.66898756745701</v>
      </c>
      <c r="E17" s="30">
        <v>1</v>
      </c>
      <c r="F17" s="7">
        <f t="shared" si="0"/>
        <v>269.66898756745701</v>
      </c>
      <c r="G17" s="49">
        <f>OtherMMP</f>
        <v>299.55439557495333</v>
      </c>
      <c r="H17" s="7">
        <f t="shared" si="1"/>
        <v>299.55439557495333</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1793.7287539610859</v>
      </c>
      <c r="G22" s="15" t="s">
        <v>61</v>
      </c>
      <c r="H22" s="8">
        <f>SUM(H10:H21)</f>
        <v>1975.9571328878667</v>
      </c>
      <c r="I22"/>
      <c r="J22"/>
    </row>
  </sheetData>
  <sheetProtection algorithmName="SHA-512" hashValue="FPuTFsop/3avNcWN81Wp+s/GMdOoN3Hv8uK1BW8na8s8uQEqD60c+xNBM1M3ARSZCwywNJWINbnn4N71xF0vMw==" saltValue="vt82qN1vWd/setqG4R6hVQ=="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8.4660584199282383</v>
      </c>
      <c r="F11" s="7">
        <f t="shared" si="0"/>
        <v>12.699087629892357</v>
      </c>
      <c r="G11" s="10"/>
      <c r="H11" s="12">
        <f t="shared" si="1"/>
        <v>12.699087629892357</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0.79329632870392031</v>
      </c>
      <c r="F13" s="7">
        <f t="shared" si="0"/>
        <v>4.9977668708346981</v>
      </c>
      <c r="G13" s="10"/>
      <c r="H13" s="12">
        <f t="shared" si="1"/>
        <v>4.9977668708346981</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13.668467247858896</v>
      </c>
      <c r="E18" s="30">
        <v>1</v>
      </c>
      <c r="F18" s="7">
        <f t="shared" si="0"/>
        <v>13.668467247858896</v>
      </c>
      <c r="G18" s="75">
        <f>ModuleMarketPrice-SUM(H10:H17,H19:H21)</f>
        <v>101.70141760811649</v>
      </c>
      <c r="H18" s="12">
        <f t="shared" si="1"/>
        <v>101.70141760811649</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232.66092719076283</v>
      </c>
      <c r="G22" s="15" t="s">
        <v>61</v>
      </c>
      <c r="H22" s="8">
        <f>SUM(H10:H21)</f>
        <v>336</v>
      </c>
      <c r="I22"/>
      <c r="J22"/>
    </row>
    <row r="23" spans="1:10">
      <c r="F23" s="11"/>
    </row>
  </sheetData>
  <sheetProtection algorithmName="SHA-512" hashValue="sqme2fArDh5/NixRxAPwpjRV394z/Zw1vsPjWgDXVNeVxLlxMdqUgx7UluK7WZ0cdQS0KdRXdh60SdQedJv5XQ==" saltValue="5VhsqWtM3WJsOXC3CE9R5A=="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TC/TSu+ZrPX36TjZUOYavW+Jbk+6mnAOC5/eEmyy4B2MeGvRt6gxQuWU31wweTE76PlZnadtKO5P4sxJYSJsXQ==" saltValue="y4ObbBrT18088iMs/GLj8w=="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Na6F1eaUUUqywaVs285E6C8iyUV/vdOuA0KXueZhr9k5+9DTznFR6beglLJYKEmMMYo3zSORuwvqoVH1t1z5Ow==" saltValue="RFwsGObVxZbNWrA3T144Ow=="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1501.2</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3.5693738636817185E-2</v>
      </c>
      <c r="F11" s="7">
        <f t="shared" si="0"/>
        <v>7.1387477273634374</v>
      </c>
      <c r="G11" s="5"/>
      <c r="H11" s="12">
        <f t="shared" si="1"/>
        <v>7.1387477273634374</v>
      </c>
      <c r="I11" s="61"/>
      <c r="J11" s="2" t="s">
        <v>137</v>
      </c>
    </row>
    <row r="12" spans="1:15" ht="18" customHeight="1">
      <c r="A12" s="13" t="s">
        <v>138</v>
      </c>
      <c r="B12" s="6"/>
      <c r="C12" s="28" t="s">
        <v>89</v>
      </c>
      <c r="D12" s="4">
        <v>2.1</v>
      </c>
      <c r="E12" s="30">
        <f>1/ModuleWidth</f>
        <v>0.56657223796033995</v>
      </c>
      <c r="F12" s="7">
        <f t="shared" si="0"/>
        <v>1.189801699716714</v>
      </c>
      <c r="G12" s="67">
        <f>D12*(1+Tariff301)</f>
        <v>2.625</v>
      </c>
      <c r="H12" s="12">
        <f t="shared" si="1"/>
        <v>1.4872521246458923</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29.518549427080153</v>
      </c>
      <c r="G22" s="15" t="s">
        <v>61</v>
      </c>
      <c r="H22" s="8">
        <f>SUM(H10:H21)</f>
        <v>29.92599985200933</v>
      </c>
      <c r="I22"/>
      <c r="J22"/>
    </row>
    <row r="23" spans="1:10">
      <c r="F23" s="11"/>
    </row>
  </sheetData>
  <sheetProtection algorithmName="SHA-512" hashValue="yNDp+hD6iOX0msm7XKO3t1WLA6X11JpnKH74O5ZGebrabk7BCd4dpFpRofpGatFAXPY0mn8hhyJyXCCq8x3yww==" saltValue="eibMFtZzxB2P8PGdbawLrg=="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219.15328467153284</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fsqQDTj1BzL8hJo+PSX4cRBUDNlSWu64EWsEd5Ghirg9p25RHXN7VybtMqCgtAT5DUlyxTCg85nDMccvzwQ+Cg==" saltValue="sjihb4JEHuOnA8qSqbXlnA=="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1501.2</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10.331468158806288</v>
      </c>
      <c r="G13" s="5"/>
      <c r="H13" s="12">
        <f t="shared" si="1"/>
        <v>10.331468158806288</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6.6613375965893953</v>
      </c>
      <c r="G15" s="4"/>
      <c r="H15" s="12">
        <f t="shared" si="1"/>
        <v>6.6613375965893953</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76.525905755395684</v>
      </c>
      <c r="G22" s="15" t="s">
        <v>61</v>
      </c>
      <c r="H22" s="8">
        <f>SUM(H10:H21)</f>
        <v>80.506805755395675</v>
      </c>
      <c r="I22"/>
      <c r="J22"/>
    </row>
    <row r="23" spans="1:10">
      <c r="F23" s="11"/>
    </row>
  </sheetData>
  <sheetProtection algorithmName="SHA-512" hashValue="HocdXXYUa9pSAYGLsgGkxKNkPoH2PqDUCpr39aWtKnucW9PNzi3if41niAMtkFAIdlMnhoYnRvbk4bfjsXGd/g==" saltValue="ehpWJFPAJiJ7TfpFCJeDHg=="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300.24</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258.14681588062882</v>
      </c>
      <c r="G12" s="5"/>
      <c r="H12" s="12">
        <f t="shared" si="1"/>
        <v>258.14681588062882</v>
      </c>
      <c r="I12" s="37"/>
      <c r="J12" s="2" t="s">
        <v>302</v>
      </c>
    </row>
    <row r="13" spans="1:15" ht="18" customHeight="1">
      <c r="A13" s="13" t="s">
        <v>163</v>
      </c>
      <c r="B13" s="6">
        <v>25000</v>
      </c>
      <c r="C13" s="28"/>
      <c r="D13" s="4"/>
      <c r="E13" s="30"/>
      <c r="F13" s="7">
        <f t="shared" si="0"/>
        <v>83.266719957367442</v>
      </c>
      <c r="G13" s="5"/>
      <c r="H13" s="12">
        <f t="shared" si="1"/>
        <v>83.266719957367442</v>
      </c>
      <c r="I13" s="37"/>
      <c r="J13" s="2" t="s">
        <v>164</v>
      </c>
    </row>
    <row r="14" spans="1:15" ht="18" customHeight="1">
      <c r="A14" s="13" t="s">
        <v>303</v>
      </c>
      <c r="B14" s="6">
        <v>30000</v>
      </c>
      <c r="C14" s="28" t="s">
        <v>22</v>
      </c>
      <c r="D14" s="4">
        <v>60</v>
      </c>
      <c r="E14" s="30">
        <v>1</v>
      </c>
      <c r="F14" s="7">
        <f t="shared" si="0"/>
        <v>159.92006394884092</v>
      </c>
      <c r="G14" s="5"/>
      <c r="H14" s="12">
        <f t="shared" si="1"/>
        <v>159.92006394884092</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531.83359978683723</v>
      </c>
      <c r="G22" s="15" t="s">
        <v>61</v>
      </c>
      <c r="H22" s="8">
        <f>SUM(H10:H21)</f>
        <v>539.33359978683723</v>
      </c>
      <c r="I22"/>
      <c r="J22"/>
    </row>
    <row r="23" spans="1:10">
      <c r="F23" s="11"/>
    </row>
  </sheetData>
  <sheetProtection algorithmName="SHA-512" hashValue="SxTj9+1A+RhKiaDSiUiFtKVlqcTyU/dur2WYHc45HES3b3BXjV5A25kiRxrb6zBl7dagrqZqmCPapfZn4vZtbA==" saltValue="t1D7ofZpfG5rwHlec++qp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35.356604994129171</v>
      </c>
      <c r="E10" s="30">
        <v>1</v>
      </c>
      <c r="F10" s="7">
        <f t="shared" ref="F10:F21" si="0">($B10/$A$3+$E10*$D10)*includerow($I10,IncludeESS,IncludeIndirect)</f>
        <v>35.356604994129171</v>
      </c>
      <c r="G10" s="67">
        <f>B10/$A$3+(SysModuleMMP+SysInverterMMP+SysESSMMP+SysSBOSMMP+SysEBOSMMP)*SalesTaxRate</f>
        <v>42.603036307447674</v>
      </c>
      <c r="H10" s="12">
        <f t="shared" ref="H10:H21" si="1">IF($G10&lt;&gt;0,$G10*$E10*includerow($I10,IncludeESS,IncludeIndirect),($B10/$A$3+$D10*$E10)*includerow($I10,IncludeESS,IncludeIndirect))</f>
        <v>42.603036307447674</v>
      </c>
      <c r="I10" s="37"/>
      <c r="J10" s="2" t="s">
        <v>167</v>
      </c>
    </row>
    <row r="11" spans="1:15" ht="18" customHeight="1">
      <c r="A11" s="13" t="s">
        <v>168</v>
      </c>
      <c r="B11" s="6"/>
      <c r="C11" s="28" t="s">
        <v>22</v>
      </c>
      <c r="D11" s="66">
        <f>(SysModuleMSP+SysInverterMSP+SysESSMSP+SysSBOSMSP+SysEBOSMSP+SysFieldworkMSP+SysOfficeworkMSP)*ContingencyRate</f>
        <v>76.202988319681452</v>
      </c>
      <c r="E11" s="30">
        <v>1</v>
      </c>
      <c r="F11" s="7">
        <f t="shared" si="0"/>
        <v>76.202988319681452</v>
      </c>
      <c r="G11" s="67">
        <f>B11/$A$3+(SysModuleMMP+SysInverterMMP+SysESSMMP+SysSBOSMMP+SysEBOSMMP+SysFieldworkMMP+SysOfficeworkMMP)*ContingencyRate</f>
        <v>83.820136865645679</v>
      </c>
      <c r="H11" s="12">
        <f t="shared" si="1"/>
        <v>83.820136865645679</v>
      </c>
      <c r="I11" s="37"/>
      <c r="J11" s="2" t="s">
        <v>169</v>
      </c>
    </row>
    <row r="12" spans="1:15" ht="18" customHeight="1">
      <c r="A12" s="13" t="s">
        <v>170</v>
      </c>
      <c r="B12" s="6">
        <v>1000000</v>
      </c>
      <c r="C12" s="28" t="s">
        <v>22</v>
      </c>
      <c r="D12" s="66">
        <f>(SysModuleMSP+SysInverterMSP+SysESSMSP+SysSBOSMSP+SysEBOSMSP+SysFieldworkMSP+SysOfficeworkMSP)*OverheadRate</f>
        <v>15.24059766393629</v>
      </c>
      <c r="E12" s="30">
        <v>1</v>
      </c>
      <c r="F12" s="7">
        <f t="shared" si="0"/>
        <v>25.240597663936292</v>
      </c>
      <c r="G12" s="67">
        <f>B12/$A$3+(SysModuleMMP+SysInverterMMP+SysESSMMP+SysSBOSMMP+SysEBOSMMP+SysFieldworkMMP+SysOfficeworkMMP)*OverheadRate</f>
        <v>26.764027373129135</v>
      </c>
      <c r="H12" s="12">
        <f t="shared" si="1"/>
        <v>26.764027373129135</v>
      </c>
      <c r="I12" s="37"/>
      <c r="J12" s="2" t="s">
        <v>171</v>
      </c>
    </row>
    <row r="13" spans="1:15" ht="18" customHeight="1">
      <c r="A13" s="13" t="s">
        <v>107</v>
      </c>
      <c r="B13" s="6"/>
      <c r="C13" s="28" t="s">
        <v>22</v>
      </c>
      <c r="D13" s="66">
        <f>( SysModuleMSP+ SysInverterMSP+ SysESSMSP+ SysSBOSMSP+ SysEBOSMSP+ SysFieldworkMSP+ SysOfficeworkMSP+SUM(F10:F12))* DeveloperProfitMSP</f>
        <v>132.86879658971009</v>
      </c>
      <c r="E13" s="30">
        <v>1</v>
      </c>
      <c r="F13" s="7">
        <f t="shared" si="0"/>
        <v>132.86879658971009</v>
      </c>
      <c r="G13" s="67">
        <f>B13/$A$3+(SysModuleMMP+SysInverterMMP+SysESSMMP+SysSBOSMMP+SysEBOSMMP+SysFieldworkMMP+SysOfficeworkMMP+SUM(H10:H12))*DeveloperProfitMMP</f>
        <v>146.36719502873086</v>
      </c>
      <c r="H13" s="12">
        <f t="shared" si="1"/>
        <v>146.36719502873086</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269.66898756745701</v>
      </c>
      <c r="G22" s="15" t="s">
        <v>61</v>
      </c>
      <c r="H22" s="8">
        <f>SUM(H10:H21)</f>
        <v>299.55439557495333</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7vBeSP1aPTM2nrRjmdiBrgRa71CpYajpz5NfQFdxhLK1IrgQSJZJiyClNRmC/ciZAg5NqnqYCGtVbcabTu3bw==" saltValue="NFTHtDeaObeBlQUVcuFCKA=="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300.24</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147.59274713540077</v>
      </c>
      <c r="E12" s="30">
        <f>PartsLossRate/ModuleEfficiency</f>
        <v>0.01</v>
      </c>
      <c r="F12" s="7">
        <f t="shared" si="0"/>
        <v>1.4759274713540078</v>
      </c>
      <c r="G12" s="5"/>
      <c r="H12" s="12">
        <f t="shared" si="1"/>
        <v>1.4759274713540078</v>
      </c>
      <c r="I12" s="37"/>
      <c r="J12" s="2" t="s">
        <v>178</v>
      </c>
    </row>
    <row r="13" spans="1:15" ht="18" customHeight="1">
      <c r="A13" s="13" t="s">
        <v>179</v>
      </c>
      <c r="B13" s="6"/>
      <c r="C13" s="28" t="s">
        <v>22</v>
      </c>
      <c r="D13" s="66">
        <f>SysModuleMSP</f>
        <v>232.66092719076283</v>
      </c>
      <c r="E13" s="30">
        <f>ModuleLossRate</f>
        <v>1E-3</v>
      </c>
      <c r="F13" s="7">
        <f t="shared" si="0"/>
        <v>0.23266092719076284</v>
      </c>
      <c r="G13" s="5"/>
      <c r="H13" s="12">
        <f t="shared" si="1"/>
        <v>0.23266092719076284</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3.587457507922172</v>
      </c>
      <c r="E17" s="30">
        <f>IncludeIndirect*1</f>
        <v>1</v>
      </c>
      <c r="F17" s="7">
        <f t="shared" si="0"/>
        <v>3.587457507922172</v>
      </c>
      <c r="G17" s="4"/>
      <c r="H17" s="12">
        <f t="shared" si="1"/>
        <v>3.587457507922172</v>
      </c>
      <c r="I17" s="37" t="s">
        <v>83</v>
      </c>
      <c r="J17" s="2" t="s">
        <v>189</v>
      </c>
    </row>
    <row r="18" spans="1:10" ht="18" customHeight="1">
      <c r="A18" s="13" t="s">
        <v>190</v>
      </c>
      <c r="B18" s="6"/>
      <c r="C18" s="29" t="s">
        <v>188</v>
      </c>
      <c r="D18" s="66">
        <f>SystemMSP*InsuranceRate</f>
        <v>4.4843218849027151</v>
      </c>
      <c r="E18" s="30">
        <f>IncludeIndirect*1</f>
        <v>1</v>
      </c>
      <c r="F18" s="7">
        <f t="shared" si="0"/>
        <v>4.4843218849027151</v>
      </c>
      <c r="G18" s="4"/>
      <c r="H18" s="12">
        <f t="shared" si="1"/>
        <v>4.4843218849027151</v>
      </c>
      <c r="I18" s="37" t="s">
        <v>83</v>
      </c>
      <c r="J18" s="2" t="s">
        <v>305</v>
      </c>
    </row>
    <row r="19" spans="1:10" ht="18" customHeight="1">
      <c r="A19" s="13" t="s">
        <v>170</v>
      </c>
      <c r="B19" s="6">
        <v>8853.3033333333296</v>
      </c>
      <c r="C19" s="29"/>
      <c r="D19" s="4"/>
      <c r="E19" s="30"/>
      <c r="F19" s="7">
        <f t="shared" si="0"/>
        <v>29.487421174171761</v>
      </c>
      <c r="G19" s="4"/>
      <c r="H19" s="12">
        <f t="shared" si="1"/>
        <v>29.487421174171761</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50.493844649559392</v>
      </c>
      <c r="G22" s="15" t="s">
        <v>61</v>
      </c>
      <c r="H22" s="8">
        <f>SUM(H10:H21)</f>
        <v>50.493844649559392</v>
      </c>
      <c r="I22"/>
      <c r="J22"/>
    </row>
    <row r="23" spans="1:10">
      <c r="F23" s="11"/>
    </row>
  </sheetData>
  <sheetProtection algorithmName="SHA-512" hashValue="6NDQTYAhg3ZFMb0KvktPzeb1PhxyM0VWRkMPywH8RuhYyiPH2/IEsOrefHFbUkYIlxWulMFeBz70lLufGt42MQ==" saltValue="CNDHt6zACNA8UXPDJ2qLZQ=="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3.5710000000000002</v>
      </c>
      <c r="D10" s="37" t="s">
        <v>89</v>
      </c>
      <c r="E10" s="59" t="str">
        <f t="shared" si="0"/>
        <v>/</v>
      </c>
      <c r="F10" s="37"/>
      <c r="G10" s="58"/>
      <c r="H10" s="2"/>
    </row>
    <row r="11" spans="1:8">
      <c r="A11" s="13" t="s">
        <v>1</v>
      </c>
      <c r="B11" s="13" t="s">
        <v>203</v>
      </c>
      <c r="C11" s="2">
        <v>1.7649999999999999</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e8GL9qArIoTfrVfXWyqYWH1YyANWjk9YtWerRo42Ah/EBxhW52iaJ3O+Qs+zrp4Oelx3lLKwN2rrQISimOJe6Q==" saltValue="pTIp4MbS9/axY6Ws7u940A=="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2026-04-07T19:39:25Z</dcterms:modified>
</cp:coreProperties>
</file>