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a59db78d5be820cd/Documents/Github/agrivoltaics/simulink_model/functions/PVeconomicsfiles/"/>
    </mc:Choice>
  </mc:AlternateContent>
  <xr:revisionPtr revIDLastSave="34" documentId="13_ncr:1_{D6B8CFB7-BD89-418A-990D-BB371E983E54}" xr6:coauthVersionLast="47" xr6:coauthVersionMax="47" xr10:uidLastSave="{9593A3ED-FFD6-4185-B016-6AC4B2A6D59F}"/>
  <bookViews>
    <workbookView xWindow="-110" yWindow="-110" windowWidth="19420" windowHeight="1150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4" i="21"/>
  <c r="F17" i="24"/>
  <c r="H18" i="14"/>
  <c r="F17" i="14"/>
  <c r="F20" i="3"/>
  <c r="F18" i="14"/>
  <c r="H20" i="17"/>
  <c r="H12" i="19"/>
  <c r="F19" i="20"/>
  <c r="F10" i="17"/>
  <c r="F12" i="17"/>
  <c r="F20" i="14"/>
  <c r="H10" i="20"/>
  <c r="F12" i="20"/>
  <c r="F15" i="14"/>
  <c r="H12" i="17"/>
  <c r="F21" i="21"/>
  <c r="F19" i="14"/>
  <c r="F13" i="20"/>
  <c r="F11" i="21"/>
  <c r="H18" i="3"/>
  <c r="H17" i="17"/>
  <c r="H21" i="14"/>
  <c r="H19" i="14"/>
  <c r="H13" i="17"/>
  <c r="H13" i="20"/>
  <c r="H17" i="20"/>
  <c r="F19" i="3"/>
  <c r="F21" i="22"/>
  <c r="F10" i="20"/>
  <c r="H21" i="3"/>
  <c r="F20" i="20"/>
  <c r="F16" i="14"/>
  <c r="F21" i="14"/>
  <c r="F15" i="20"/>
  <c r="F18" i="3"/>
  <c r="H17" i="21"/>
  <c r="H12" i="20"/>
  <c r="F14" i="17"/>
  <c r="H11" i="20"/>
  <c r="H10" i="24"/>
  <c r="H16" i="14"/>
  <c r="H17" i="14"/>
  <c r="H20" i="3"/>
  <c r="H10" i="17"/>
  <c r="H21" i="21"/>
  <c r="H21" i="17"/>
  <c r="H19" i="3"/>
  <c r="F21" i="20"/>
  <c r="H11" i="16"/>
  <c r="F11" i="20"/>
  <c r="H15" i="21"/>
  <c r="F17" i="17"/>
  <c r="H21" i="20"/>
  <c r="F20" i="21"/>
  <c r="F17" i="20"/>
  <c r="F19" i="17"/>
  <c r="F21" i="3"/>
  <c r="H11" i="17"/>
  <c r="F11" i="17"/>
  <c r="H20" i="14"/>
  <c r="H13" i="19"/>
  <c r="H20" i="21"/>
  <c r="F17" i="21"/>
  <c r="F13" i="21"/>
  <c r="F12" i="21"/>
  <c r="F20" i="17"/>
  <c r="F21" i="17"/>
  <c r="H15" i="14"/>
  <c r="H10" i="16"/>
  <c r="H14" i="20"/>
  <c r="F16" i="21"/>
  <c r="F20" i="16"/>
  <c r="H14" i="18"/>
  <c r="H16" i="17"/>
  <c r="H11" i="18"/>
  <c r="H15" i="17"/>
  <c r="F10" i="18"/>
  <c r="F10" i="21"/>
  <c r="F15" i="19"/>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3" i="21"/>
  <c r="H10" i="19"/>
  <c r="F15" i="16"/>
  <c r="F16" i="19"/>
  <c r="H16" i="18"/>
  <c r="F16" i="20"/>
  <c r="H21" i="16"/>
  <c r="H20" i="16"/>
  <c r="F13" i="17"/>
  <c r="F16" i="22"/>
  <c r="H21" i="18"/>
  <c r="H17" i="16"/>
  <c r="H16" i="22"/>
  <c r="H16" i="21"/>
  <c r="F21" i="18"/>
  <c r="F14" i="24"/>
  <c r="F15" i="21"/>
  <c r="F16" i="17"/>
  <c r="H14" i="21"/>
  <c r="H13" i="18"/>
  <c r="F16" i="24"/>
  <c r="F18" i="18"/>
  <c r="F19" i="19"/>
  <c r="H19" i="18"/>
  <c r="H21" i="19"/>
  <c r="H19" i="24"/>
  <c r="H13" i="16"/>
  <c r="F21" i="16"/>
  <c r="F17" i="19"/>
  <c r="H19" i="22"/>
  <c r="F20" i="22"/>
  <c r="F16" i="18"/>
  <c r="H18" i="16"/>
  <c r="H17" i="24"/>
  <c r="F15" i="17"/>
  <c r="H14" i="17"/>
  <c r="H15" i="20"/>
  <c r="F12" i="19"/>
  <c r="F14" i="20"/>
  <c r="F14" i="16"/>
  <c r="H13" i="24"/>
  <c r="F19" i="18"/>
  <c r="H19" i="19"/>
  <c r="F20" i="19"/>
  <c r="H16" i="16"/>
  <c r="F20" i="24"/>
  <c r="H15" i="16"/>
  <c r="F16" i="16"/>
  <c r="F19" i="16"/>
  <c r="H10" i="21"/>
  <c r="H10" i="18"/>
  <c r="H12" i="16"/>
  <c r="H21" i="22"/>
  <c r="H16" i="24"/>
  <c r="H11" i="22"/>
  <c r="H17" i="19"/>
  <c r="F11" i="24"/>
  <c r="H18" i="19"/>
  <c r="F12" i="24"/>
  <c r="H15" i="24"/>
  <c r="H17" i="18"/>
  <c r="F19" i="22"/>
  <c r="F11" i="19"/>
  <c r="F13" i="24"/>
  <c r="H10" i="22"/>
  <c r="F14" i="18"/>
  <c r="H14" i="16"/>
  <c r="F19" i="24"/>
  <c r="H12" i="21"/>
  <c r="F11" i="16"/>
  <c r="F10" i="24"/>
  <c r="H15" i="18"/>
  <c r="H16" i="19"/>
  <c r="H19" i="20"/>
  <c r="H21" i="24"/>
  <c r="H14" i="24"/>
  <c r="H12" i="24"/>
  <c r="H11" i="19"/>
  <c r="F15" i="24"/>
  <c r="F11" i="22"/>
  <c r="F14" i="19"/>
  <c r="F12" i="18"/>
  <c r="F13" i="18"/>
  <c r="H20" i="18"/>
  <c r="H20" i="19"/>
  <c r="H12" i="18"/>
  <c r="F21" i="19"/>
  <c r="H19" i="16"/>
  <c r="F21" i="24"/>
  <c r="F17" i="16"/>
  <c r="F13" i="16"/>
  <c r="H20" i="22"/>
  <c r="F10" i="19"/>
  <c r="F20" i="18"/>
  <c r="F18" i="24"/>
  <c r="F17" i="18"/>
  <c r="H11" i="21"/>
  <c r="F10" i="16"/>
  <c r="H18" i="18"/>
  <c r="F13" i="19"/>
  <c r="F12" i="16"/>
  <c r="H20" i="24"/>
  <c r="F11" i="18"/>
  <c r="H15" i="19"/>
  <c r="F15" i="18"/>
  <c r="H18" i="24"/>
  <c r="F18" i="19"/>
  <c r="F10" i="22"/>
  <c r="H14" i="19"/>
  <c r="H11" i="24"/>
  <c r="F18" i="16"/>
  <c r="H19" i="17"/>
  <c r="D18" i="20" l="1"/>
  <c r="G18" i="17"/>
  <c r="D18" i="21"/>
  <c r="D18" i="17"/>
  <c r="H9" i="22"/>
  <c r="E9" i="22"/>
  <c r="F9" i="22"/>
  <c r="A2" i="19"/>
  <c r="A2" i="18"/>
  <c r="A2" i="24"/>
  <c r="A2" i="16"/>
  <c r="H9" i="14"/>
  <c r="F9" i="14"/>
  <c r="E9" i="14"/>
  <c r="H9" i="17"/>
  <c r="F9" i="17"/>
  <c r="E9" i="17"/>
  <c r="H9" i="20"/>
  <c r="F9" i="20"/>
  <c r="E9" i="20"/>
  <c r="H9" i="21"/>
  <c r="F9" i="21"/>
  <c r="E9" i="21"/>
  <c r="H9" i="3"/>
  <c r="H18" i="17"/>
  <c r="F19" i="21"/>
  <c r="H16" i="20"/>
  <c r="F18" i="20"/>
  <c r="F18" i="21"/>
  <c r="F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6" i="3"/>
  <c r="H16" i="3"/>
  <c r="F12" i="3"/>
  <c r="F13" i="3"/>
  <c r="H13" i="3"/>
  <c r="F14" i="3"/>
  <c r="H14" i="3"/>
  <c r="D12" i="22" l="1"/>
  <c r="D15" i="22"/>
  <c r="H22" i="16"/>
  <c r="G15" i="3" s="1"/>
  <c r="F22" i="16"/>
  <c r="D15" i="3" s="1"/>
  <c r="F15" i="22"/>
  <c r="H15" i="3"/>
  <c r="F15" i="3"/>
  <c r="H12" i="22"/>
  <c r="F22" i="20" l="1"/>
  <c r="D11" i="3" s="1"/>
  <c r="F12" i="22"/>
  <c r="H15" i="22"/>
  <c r="F11" i="3"/>
  <c r="D14" i="22" l="1"/>
  <c r="H22" i="17"/>
  <c r="G12" i="3" s="1"/>
  <c r="F14" i="22"/>
  <c r="H12" i="3"/>
  <c r="F22" i="21" l="1"/>
  <c r="D10" i="3" s="1"/>
  <c r="H18" i="20"/>
  <c r="H19" i="21"/>
  <c r="H14" i="14"/>
  <c r="H14" i="22"/>
  <c r="F14" i="14"/>
  <c r="F10" i="3"/>
  <c r="D12" i="14" l="1"/>
  <c r="D11" i="14"/>
  <c r="D10" i="14"/>
  <c r="D13" i="22"/>
  <c r="G18" i="21"/>
  <c r="G20" i="20"/>
  <c r="F11" i="14"/>
  <c r="F12" i="14"/>
  <c r="F10" i="14"/>
  <c r="H20" i="20"/>
  <c r="H13" i="22"/>
  <c r="H18" i="21"/>
  <c r="D13" i="14" l="1"/>
  <c r="H22" i="21"/>
  <c r="G10" i="3" s="1"/>
  <c r="H22" i="20"/>
  <c r="G11" i="3" s="1"/>
  <c r="F13" i="22"/>
  <c r="F13" i="14"/>
  <c r="H10" i="3"/>
  <c r="H11" i="3"/>
  <c r="G11" i="14" l="1"/>
  <c r="G12" i="14"/>
  <c r="G10" i="14"/>
  <c r="F22" i="14"/>
  <c r="D17" i="3" s="1"/>
  <c r="H10" i="14"/>
  <c r="H11" i="14"/>
  <c r="F17" i="3"/>
  <c r="H12" i="14"/>
  <c r="G13" i="14" l="1"/>
  <c r="F22" i="3"/>
  <c r="H13" i="14"/>
  <c r="D18" i="22" l="1"/>
  <c r="D17" i="22"/>
  <c r="H22" i="14"/>
  <c r="G17" i="3" s="1"/>
  <c r="H18" i="22"/>
  <c r="F17" i="22"/>
  <c r="H17" i="3"/>
  <c r="H22" i="3" l="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2E51AC4E-6776-494A-B77F-482CA1D3B954}">
      <text>
        <r>
          <rPr>
            <sz val="9"/>
            <color indexed="81"/>
            <rFont val="Tahoma"/>
            <family val="2"/>
          </rPr>
          <t>PV Benchmark Range:     $1172 - $1461            PV+ESS Range:          $1728 - $2365</t>
        </r>
      </text>
    </comment>
    <comment ref="H22" authorId="1" shapeId="0" xr:uid="{3D5AF098-4136-41FB-B52A-121C0AA3309F}">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421A7933-C8A5-490E-A366-FFC978EE949D}">
      <text>
        <r>
          <rPr>
            <sz val="9"/>
            <color indexed="81"/>
            <rFont val="Tahoma"/>
            <family val="2"/>
          </rPr>
          <t>Benchmark Range:     $211 - $289</t>
        </r>
      </text>
    </comment>
    <comment ref="H22" authorId="1" shapeId="0" xr:uid="{D63F9B07-5495-45CD-ACC9-47EB3673F162}">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B6ABC290-382E-4465-9646-AF3340903818}">
      <text>
        <r>
          <rPr>
            <sz val="9"/>
            <color indexed="81"/>
            <rFont val="Tahoma"/>
            <family val="2"/>
          </rPr>
          <t>Benchmark Range:     $35 - $104</t>
        </r>
      </text>
    </comment>
    <comment ref="H22" authorId="1" shapeId="0" xr:uid="{91764425-AF0E-411E-A474-D068197F9C87}">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A8CE6B98-87F2-4755-82FD-6CF529AA625F}">
      <text>
        <r>
          <rPr>
            <sz val="9"/>
            <color indexed="81"/>
            <rFont val="Tahoma"/>
            <family val="2"/>
          </rPr>
          <t>Benchmark Range:     $148 - $272</t>
        </r>
      </text>
    </comment>
    <comment ref="H22" authorId="1" shapeId="0" xr:uid="{DE084030-D2A9-4D05-8714-B04D38CB6710}">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0ACAD98-16C6-44EE-8621-DD452B06D69B}">
      <text>
        <r>
          <rPr>
            <sz val="9"/>
            <color indexed="81"/>
            <rFont val="Tahoma"/>
            <family val="2"/>
          </rPr>
          <t>PV Benchmark Range:     $28 - $47            PV+ESS Range:          $30 - $49</t>
        </r>
      </text>
    </comment>
    <comment ref="H22" authorId="1" shapeId="0" xr:uid="{E4ED038E-497E-4C59-988E-384B57632A12}">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4AFA0D25-F6D1-446A-A075-3626CA55358C}">
      <text>
        <r>
          <rPr>
            <sz val="9"/>
            <color indexed="81"/>
            <rFont val="Tahoma"/>
            <family val="2"/>
          </rPr>
          <t>PV Benchmark Range:     $245 - $245            PV+ESS Range:          $245 - $245</t>
        </r>
      </text>
    </comment>
    <comment ref="H22" authorId="1" shapeId="0" xr:uid="{B361D262-162C-452E-ABED-2666869CA9BC}">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143EBE04-B6AF-4C7D-A276-736F794BE99A}">
      <text>
        <r>
          <rPr>
            <sz val="9"/>
            <color indexed="81"/>
            <rFont val="Tahoma"/>
            <family val="2"/>
          </rPr>
          <t>PV Benchmark Range:     $55 - $97            PV+ESS Range:          $88 - $130</t>
        </r>
      </text>
    </comment>
    <comment ref="H22" authorId="1" shapeId="0" xr:uid="{9A84866A-1191-49F2-AC61-67315E869327}">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885F07C3-B77C-437C-9E89-AC7D38BFFA38}">
      <text>
        <r>
          <rPr>
            <sz val="9"/>
            <color indexed="81"/>
            <rFont val="Tahoma"/>
            <family val="2"/>
          </rPr>
          <t>PV Benchmark Range:     $148 - $165            PV+ESS Range:          $148 - $165</t>
        </r>
      </text>
    </comment>
    <comment ref="H22" authorId="1" shapeId="0" xr:uid="{5B3DC0C0-9612-4610-B850-05798B3DFB9D}">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B7766D35-2D92-414E-9F31-31C930B775B8}">
      <text>
        <r>
          <rPr>
            <sz val="9"/>
            <color indexed="81"/>
            <rFont val="Tahoma"/>
            <family val="2"/>
          </rPr>
          <t>PV Benchmark Range:     $189 - $236            PV+ESS Range:          $276 - $381</t>
        </r>
      </text>
    </comment>
    <comment ref="H22" authorId="1" shapeId="0" xr:uid="{E08D2A06-9090-4F2E-80BE-8E577239D0B5}">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37B3C45A-75F2-4DB5-B420-4795D7FC07EA}">
      <text>
        <r>
          <rPr>
            <sz val="9"/>
            <color indexed="81"/>
            <rFont val="Tahoma"/>
            <family val="2"/>
          </rPr>
          <t>PV Benchmark Range:     $17 - $26            PV+ESS Range:          $35 - $57</t>
        </r>
      </text>
    </comment>
    <comment ref="H22" authorId="1" shapeId="0" xr:uid="{44AD1825-7772-49EB-BCD8-55F4132460FC}">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<sst xmlns="http://schemas.openxmlformats.org/spreadsheetml/2006/main" count="697" uniqueCount="320">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</sst>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232.28546335992257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141.78989437683327</c:v>
                </c:pt>
                <c:pt idx="1">
                  <c:v>143.97949462667714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583.70158529250955</c:v>
                </c:pt>
                <c:pt idx="1">
                  <c:v>603.60608529250965</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2393.6119008565702</c:v>
                </c:pt>
                <c:pt idx="1">
                  <c:v>2401.1119008565702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567.08808935249658</c:v>
                </c:pt>
                <c:pt idx="1">
                  <c:v>597.08298667215342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1.4178989437683327</c:v>
                </c:pt>
                <c:pt idx="1">
                  <c:v>1.4178989437683327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0.23228546335992259</c:v>
                </c:pt>
                <c:pt idx="1">
                  <c:v>0.23228546335992259</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8.2956397934839643</c:v>
                </c:pt>
                <c:pt idx="1">
                  <c:v>8.2956397934839643</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10.369549741854955</c:v>
                </c:pt>
                <c:pt idx="1">
                  <c:v>10.369549741854955</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161.3505254844784</c:v>
                </c:pt>
                <c:pt idx="1">
                  <c:v>161.3505254844784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x14ac:dyDescent="0.3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x14ac:dyDescent="0.35">
      <c r="A1" s="14" t="s">
        <v>7</v>
      </c>
      <c r="B1"/>
      <c r="C1"/>
      <c r="D1"/>
      <c r="E1"/>
      <c r="F1"/>
      <c r="G1"/>
      <c r="H1"/>
      <c r="I1"/>
      <c r="J1"/>
    </row>
    <row r="2" spans="1:20" ht="18" customHeight="1" x14ac:dyDescent="0.35">
      <c r="A2" s="71" t="s">
        <v>6</v>
      </c>
      <c r="B2" s="71"/>
      <c r="C2" s="31" t="s">
        <v>13</v>
      </c>
      <c r="D2" s="68" t="s">
        <v>319</v>
      </c>
      <c r="E2" s="69"/>
      <c r="F2" s="69"/>
      <c r="G2"/>
      <c r="H2" s="16"/>
      <c r="I2" t="s">
        <v>9</v>
      </c>
      <c r="J2"/>
    </row>
    <row r="3" spans="1:20" ht="18" customHeight="1" x14ac:dyDescent="0.35">
      <c r="A3" s="32">
        <v>54.87</v>
      </c>
      <c r="B3" s="17" t="s">
        <v>22</v>
      </c>
      <c r="C3"/>
      <c r="D3"/>
      <c r="E3"/>
      <c r="F3"/>
      <c r="G3"/>
      <c r="H3" s="17"/>
      <c r="I3" t="s">
        <v>10</v>
      </c>
      <c r="J3"/>
    </row>
    <row r="4" spans="1:20" ht="18" customHeight="1" x14ac:dyDescent="0.35">
      <c r="A4"/>
      <c r="B4"/>
      <c r="C4"/>
      <c r="D4"/>
      <c r="E4"/>
      <c r="F4"/>
      <c r="G4"/>
      <c r="H4" s="18"/>
      <c r="I4" t="s">
        <v>43</v>
      </c>
      <c r="J4"/>
    </row>
    <row r="5" spans="1:20" ht="18" customHeight="1" x14ac:dyDescent="0.35">
      <c r="A5" s="70" t="s">
        <v>280</v>
      </c>
      <c r="B5" s="70"/>
      <c r="C5" s="70"/>
      <c r="D5" s="70"/>
      <c r="E5" s="70"/>
      <c r="F5" s="70"/>
      <c r="G5"/>
      <c r="H5" s="19"/>
      <c r="I5" t="s">
        <v>8</v>
      </c>
      <c r="J5"/>
    </row>
    <row r="6" spans="1:20" ht="18" customHeight="1" x14ac:dyDescent="0.35">
      <c r="A6" s="70"/>
      <c r="B6" s="70"/>
      <c r="C6" s="70"/>
      <c r="D6" s="70"/>
      <c r="E6" s="70"/>
      <c r="F6" s="70"/>
      <c r="G6" s="15" t="s">
        <v>57</v>
      </c>
      <c r="H6" s="54" t="b">
        <v>0</v>
      </c>
      <c r="I6"/>
      <c r="J6"/>
    </row>
    <row r="7" spans="1:20" ht="18" customHeight="1" x14ac:dyDescent="0.35">
      <c r="A7" s="70"/>
      <c r="B7" s="70"/>
      <c r="C7" s="70"/>
      <c r="D7" s="70"/>
      <c r="E7" s="70"/>
      <c r="F7" s="70"/>
      <c r="G7" s="15" t="s">
        <v>58</v>
      </c>
      <c r="H7" s="54" t="b">
        <v>1</v>
      </c>
      <c r="I7"/>
      <c r="J7"/>
    </row>
    <row r="8" spans="1:20" ht="18" customHeight="1" x14ac:dyDescent="0.35">
      <c r="A8" s="20"/>
      <c r="B8"/>
      <c r="C8"/>
      <c r="D8"/>
      <c r="E8"/>
      <c r="F8"/>
      <c r="G8"/>
      <c r="H8"/>
      <c r="I8"/>
      <c r="J8"/>
    </row>
    <row r="9" spans="1:20" s="3" customFormat="1" ht="29.75" customHeight="1" x14ac:dyDescent="0.35">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x14ac:dyDescent="0.35">
      <c r="A10" s="13" t="s">
        <v>1</v>
      </c>
      <c r="B10" s="65" t="s">
        <v>77</v>
      </c>
      <c r="C10" s="24" t="str">
        <f>ModuleUnit</f>
        <v>kWdc</v>
      </c>
      <c r="D10" s="48">
        <f>ModuleMSP</f>
        <v>232.28546335992257</v>
      </c>
      <c r="E10" s="30">
        <v>1</v>
      </c>
      <c r="F10" s="7">
        <f t="shared" ref="F10:F21" si="0">E10*D10*includerow(I10,IncludeESS,IncludeIndirect)</f>
        <v>232.28546335992257</v>
      </c>
      <c r="G10" s="49">
        <f>ModuleMMP</f>
        <v>336</v>
      </c>
      <c r="H10" s="7">
        <f t="shared" ref="H10:H21" si="1">G10*E10*includerow(I10,IncludeESS,IncludeIndirect)</f>
        <v>336</v>
      </c>
      <c r="I10" s="37"/>
      <c r="J10" s="2"/>
      <c r="K10"/>
      <c r="L10"/>
      <c r="M10"/>
      <c r="N10"/>
      <c r="O10"/>
      <c r="P10"/>
      <c r="Q10"/>
      <c r="R10"/>
      <c r="S10"/>
      <c r="T10"/>
    </row>
    <row r="11" spans="1:20" ht="18" customHeight="1" x14ac:dyDescent="0.35">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x14ac:dyDescent="0.35">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x14ac:dyDescent="0.35">
      <c r="A13" s="13" t="s">
        <v>17</v>
      </c>
      <c r="B13" s="34" t="s">
        <v>80</v>
      </c>
      <c r="C13" s="24" t="str">
        <f>SBOSUnit</f>
        <v>m2</v>
      </c>
      <c r="D13" s="49">
        <f>SBOSMSP</f>
        <v>28.357978875366655</v>
      </c>
      <c r="E13" s="30">
        <f>1/ModuleEfficiency</f>
        <v>5</v>
      </c>
      <c r="F13" s="7">
        <f t="shared" si="0"/>
        <v>141.78989437683327</v>
      </c>
      <c r="G13" s="49">
        <f>SBOSMMP</f>
        <v>28.795898925335425</v>
      </c>
      <c r="H13" s="7">
        <f t="shared" si="1"/>
        <v>143.97949462667714</v>
      </c>
      <c r="I13" s="37"/>
      <c r="J13" s="2"/>
      <c r="K13"/>
      <c r="L13"/>
      <c r="M13"/>
      <c r="N13"/>
      <c r="O13"/>
      <c r="P13"/>
      <c r="Q13"/>
      <c r="R13"/>
      <c r="S13"/>
      <c r="T13"/>
    </row>
    <row r="14" spans="1:20" ht="18" customHeight="1" x14ac:dyDescent="0.35">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x14ac:dyDescent="0.35">
      <c r="A15" s="13" t="s">
        <v>40</v>
      </c>
      <c r="B15" s="34" t="s">
        <v>82</v>
      </c>
      <c r="C15" s="24" t="str">
        <f>FieldworkUnit</f>
        <v>m2</v>
      </c>
      <c r="D15" s="49">
        <f>FieldworkMSP</f>
        <v>116.74031705850192</v>
      </c>
      <c r="E15" s="30">
        <f>1/ModuleEfficiency</f>
        <v>5</v>
      </c>
      <c r="F15" s="7">
        <f t="shared" si="0"/>
        <v>583.70158529250955</v>
      </c>
      <c r="G15" s="49">
        <f>FieldworkMMP</f>
        <v>120.72121705850194</v>
      </c>
      <c r="H15" s="7">
        <f t="shared" si="1"/>
        <v>603.60608529250965</v>
      </c>
      <c r="I15" s="37"/>
      <c r="J15" s="2"/>
      <c r="K15"/>
      <c r="L15"/>
      <c r="M15"/>
      <c r="N15"/>
      <c r="O15"/>
      <c r="P15"/>
      <c r="Q15"/>
      <c r="R15"/>
      <c r="S15"/>
      <c r="T15"/>
    </row>
    <row r="16" spans="1:20" ht="18" customHeight="1" x14ac:dyDescent="0.35">
      <c r="A16" s="13" t="s">
        <v>41</v>
      </c>
      <c r="B16" s="34" t="s">
        <v>82</v>
      </c>
      <c r="C16" s="24" t="str">
        <f>OfficeworkUnit</f>
        <v>kWdc</v>
      </c>
      <c r="D16" s="49">
        <f>OfficeworkMSP</f>
        <v>2393.6119008565702</v>
      </c>
      <c r="E16" s="30">
        <v>1</v>
      </c>
      <c r="F16" s="7">
        <f t="shared" si="0"/>
        <v>2393.6119008565702</v>
      </c>
      <c r="G16" s="49">
        <f>OfficeworkMMP</f>
        <v>2401.1119008565702</v>
      </c>
      <c r="H16" s="7">
        <f t="shared" si="1"/>
        <v>2401.1119008565702</v>
      </c>
      <c r="I16" s="37" t="s">
        <v>83</v>
      </c>
      <c r="J16" s="2"/>
      <c r="K16"/>
      <c r="L16"/>
      <c r="M16"/>
      <c r="N16"/>
      <c r="O16"/>
      <c r="P16"/>
      <c r="Q16"/>
      <c r="R16"/>
      <c r="S16"/>
      <c r="T16"/>
    </row>
    <row r="17" spans="1:20" ht="18" customHeight="1" x14ac:dyDescent="0.35">
      <c r="A17" s="13" t="s">
        <v>11</v>
      </c>
      <c r="B17" s="65" t="s">
        <v>84</v>
      </c>
      <c r="C17" s="24" t="str">
        <f>OtherUnit</f>
        <v>kWdc</v>
      </c>
      <c r="D17" s="49">
        <f>OtherMSP</f>
        <v>567.08808935249658</v>
      </c>
      <c r="E17" s="30">
        <v>1</v>
      </c>
      <c r="F17" s="7">
        <f t="shared" si="0"/>
        <v>567.08808935249658</v>
      </c>
      <c r="G17" s="49">
        <f>OtherMMP</f>
        <v>597.08298667215342</v>
      </c>
      <c r="H17" s="7">
        <f t="shared" si="1"/>
        <v>597.08298667215342</v>
      </c>
      <c r="I17" s="37" t="s">
        <v>83</v>
      </c>
      <c r="J17" s="2"/>
      <c r="K17"/>
      <c r="L17"/>
      <c r="M17"/>
      <c r="N17"/>
      <c r="O17"/>
      <c r="P17"/>
      <c r="Q17"/>
      <c r="R17"/>
      <c r="S17"/>
      <c r="T17"/>
    </row>
    <row r="18" spans="1:20" ht="18" customHeight="1" x14ac:dyDescent="0.35">
      <c r="A18" s="13"/>
      <c r="B18" s="65"/>
      <c r="C18" s="24"/>
      <c r="D18" s="49"/>
      <c r="E18" s="30"/>
      <c r="F18" s="7">
        <f t="shared" si="0"/>
        <v>0</v>
      </c>
      <c r="G18" s="49"/>
      <c r="H18" s="7">
        <f t="shared" si="1"/>
        <v>0</v>
      </c>
      <c r="I18" s="37"/>
      <c r="J18" s="2"/>
      <c r="K18"/>
      <c r="L18"/>
      <c r="M18"/>
      <c r="N18"/>
      <c r="O18"/>
      <c r="P18"/>
      <c r="Q18"/>
      <c r="R18"/>
      <c r="S18"/>
      <c r="T18"/>
    </row>
    <row r="19" spans="1:20" ht="18" customHeight="1" x14ac:dyDescent="0.35">
      <c r="A19" s="13"/>
      <c r="B19" s="65"/>
      <c r="C19" s="24"/>
      <c r="D19" s="49"/>
      <c r="E19" s="30"/>
      <c r="F19" s="7">
        <f t="shared" si="0"/>
        <v>0</v>
      </c>
      <c r="G19" s="49"/>
      <c r="H19" s="7">
        <f t="shared" si="1"/>
        <v>0</v>
      </c>
      <c r="I19" s="37"/>
      <c r="J19" s="2"/>
      <c r="K19"/>
      <c r="L19"/>
      <c r="M19"/>
      <c r="N19"/>
      <c r="O19"/>
      <c r="P19"/>
      <c r="Q19"/>
      <c r="R19"/>
      <c r="S19"/>
      <c r="T19"/>
    </row>
    <row r="20" spans="1:20" ht="18" customHeight="1" x14ac:dyDescent="0.35">
      <c r="A20" s="13"/>
      <c r="B20" s="34"/>
      <c r="C20" s="24"/>
      <c r="D20" s="49"/>
      <c r="E20" s="30"/>
      <c r="F20" s="7">
        <f t="shared" si="0"/>
        <v>0</v>
      </c>
      <c r="G20" s="49"/>
      <c r="H20" s="7">
        <f t="shared" si="1"/>
        <v>0</v>
      </c>
      <c r="I20" s="37"/>
      <c r="J20" s="2"/>
      <c r="K20"/>
      <c r="L20"/>
      <c r="M20"/>
      <c r="N20"/>
      <c r="O20"/>
      <c r="P20"/>
      <c r="Q20"/>
      <c r="R20"/>
      <c r="S20"/>
      <c r="T20"/>
    </row>
    <row r="21" spans="1:20" ht="18" customHeight="1" x14ac:dyDescent="0.35">
      <c r="A21" s="13"/>
      <c r="B21" s="34"/>
      <c r="C21" s="24"/>
      <c r="D21" s="49"/>
      <c r="E21" s="30"/>
      <c r="F21" s="7">
        <f t="shared" si="0"/>
        <v>0</v>
      </c>
      <c r="G21" s="49"/>
      <c r="H21" s="7">
        <f t="shared" si="1"/>
        <v>0</v>
      </c>
      <c r="I21" s="37"/>
      <c r="J21" s="2"/>
    </row>
    <row r="22" spans="1:20" x14ac:dyDescent="0.35">
      <c r="A22"/>
      <c r="B22"/>
      <c r="C22"/>
      <c r="D22"/>
      <c r="E22" s="15" t="s">
        <v>62</v>
      </c>
      <c r="F22" s="8">
        <f>SUM(F10:F21)</f>
        <v>4147.8198967419821</v>
      </c>
      <c r="G22" s="15" t="s">
        <v>61</v>
      </c>
      <c r="H22" s="8">
        <f>SUM(H10:H21)</f>
        <v>4330.6855769369613</v>
      </c>
      <c r="I22"/>
      <c r="J22"/>
    </row>
  </sheetData>
  <sheetProtection algorithmName="SHA-512" hashValue="Vw1rgc3aw2uqfGbnthrKTAloi9L4eZ7P0Wg8MXC3FEcuXbd+nRouFAp4/Wbs5ZTKAUMXi5Zba4AEOKAx8hnA6Q==" saltValue="OqfuYupAitqQh7qW9Zv/c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x14ac:dyDescent="0.35">
      <c r="A1" s="14" t="s">
        <v>1</v>
      </c>
      <c r="B1"/>
      <c r="C1"/>
      <c r="D1" s="25"/>
      <c r="E1"/>
      <c r="F1"/>
      <c r="G1"/>
      <c r="H1"/>
      <c r="I1"/>
      <c r="J1"/>
    </row>
    <row r="2" spans="1:15" ht="18" customHeight="1" x14ac:dyDescent="0.35">
      <c r="A2" s="71" t="s">
        <v>5</v>
      </c>
      <c r="B2" s="71"/>
      <c r="C2"/>
      <c r="D2" s="26"/>
      <c r="E2" s="27"/>
      <c r="F2"/>
      <c r="G2"/>
      <c r="H2" s="16"/>
      <c r="I2" t="s">
        <v>9</v>
      </c>
      <c r="J2"/>
    </row>
    <row r="3" spans="1:15" ht="18" customHeight="1" x14ac:dyDescent="0.35">
      <c r="A3" s="9">
        <v>1500000</v>
      </c>
      <c r="B3" s="17" t="s">
        <v>22</v>
      </c>
      <c r="C3"/>
      <c r="D3"/>
      <c r="E3"/>
      <c r="F3"/>
      <c r="G3"/>
      <c r="H3" s="17"/>
      <c r="I3" t="s">
        <v>10</v>
      </c>
      <c r="J3"/>
    </row>
    <row r="4" spans="1:15" ht="18" customHeight="1" x14ac:dyDescent="0.35">
      <c r="A4"/>
      <c r="B4"/>
      <c r="C4"/>
      <c r="D4"/>
      <c r="E4"/>
      <c r="F4"/>
      <c r="G4"/>
      <c r="H4" s="18"/>
      <c r="I4" t="s">
        <v>43</v>
      </c>
      <c r="J4"/>
    </row>
    <row r="5" spans="1:15" ht="18" customHeight="1" x14ac:dyDescent="0.35">
      <c r="A5" s="70" t="s">
        <v>85</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5">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x14ac:dyDescent="0.35">
      <c r="A11" s="13" t="s">
        <v>88</v>
      </c>
      <c r="B11" s="6"/>
      <c r="C11" s="28" t="s">
        <v>89</v>
      </c>
      <c r="D11" s="4">
        <v>1.5</v>
      </c>
      <c r="E11" s="30">
        <f>2*(ModuleWidth+ModuleHeight)/(ModuleWidth*ModuleHeight*ModuleEfficiency)</f>
        <v>8.5433624430400652</v>
      </c>
      <c r="F11" s="7">
        <f t="shared" si="0"/>
        <v>12.815043664560097</v>
      </c>
      <c r="G11" s="10"/>
      <c r="H11" s="12">
        <f t="shared" si="1"/>
        <v>12.815043664560097</v>
      </c>
      <c r="I11" s="37"/>
      <c r="J11" s="2"/>
    </row>
    <row r="12" spans="1:15" ht="18" customHeight="1" x14ac:dyDescent="0.35">
      <c r="A12" s="13" t="s">
        <v>90</v>
      </c>
      <c r="B12" s="6"/>
      <c r="C12" s="28" t="s">
        <v>91</v>
      </c>
      <c r="D12" s="4">
        <v>7.7</v>
      </c>
      <c r="E12" s="30">
        <f>1/ModuleEfficiency</f>
        <v>5</v>
      </c>
      <c r="F12" s="7">
        <f t="shared" si="0"/>
        <v>38.5</v>
      </c>
      <c r="G12" s="10"/>
      <c r="H12" s="12">
        <f t="shared" si="1"/>
        <v>38.5</v>
      </c>
      <c r="I12" s="37"/>
      <c r="J12" s="2" t="s">
        <v>92</v>
      </c>
    </row>
    <row r="13" spans="1:15" ht="18" customHeight="1" x14ac:dyDescent="0.35">
      <c r="A13" s="13" t="s">
        <v>93</v>
      </c>
      <c r="B13" s="6"/>
      <c r="C13" s="28" t="s">
        <v>94</v>
      </c>
      <c r="D13" s="4">
        <v>6.3</v>
      </c>
      <c r="E13" s="30">
        <f>1/(ModuleEfficiency*ModuleHeight*ModuleWidth)</f>
        <v>0.71744729954988795</v>
      </c>
      <c r="F13" s="7">
        <f t="shared" si="0"/>
        <v>4.5199179871642938</v>
      </c>
      <c r="G13" s="10"/>
      <c r="H13" s="12">
        <f t="shared" si="1"/>
        <v>4.5199179871642938</v>
      </c>
      <c r="I13" s="37"/>
      <c r="J13" s="2" t="s">
        <v>95</v>
      </c>
    </row>
    <row r="14" spans="1:15" ht="18" customHeight="1" x14ac:dyDescent="0.35">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x14ac:dyDescent="0.35">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x14ac:dyDescent="0.35">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x14ac:dyDescent="0.35">
      <c r="A17" s="13" t="s">
        <v>105</v>
      </c>
      <c r="B17" s="6"/>
      <c r="C17" s="28" t="s">
        <v>22</v>
      </c>
      <c r="D17" s="4">
        <v>1.8</v>
      </c>
      <c r="E17" s="30">
        <v>1</v>
      </c>
      <c r="F17" s="7">
        <f t="shared" si="0"/>
        <v>1.8</v>
      </c>
      <c r="G17" s="10"/>
      <c r="H17" s="12">
        <f t="shared" si="1"/>
        <v>1.8</v>
      </c>
      <c r="I17" s="37" t="s">
        <v>83</v>
      </c>
      <c r="J17" s="2" t="s">
        <v>106</v>
      </c>
    </row>
    <row r="18" spans="1:10" ht="18" customHeight="1" x14ac:dyDescent="0.35">
      <c r="A18" s="13" t="s">
        <v>107</v>
      </c>
      <c r="B18" s="6"/>
      <c r="C18" s="28" t="s">
        <v>22</v>
      </c>
      <c r="D18" s="66">
        <f>(D16+SUM(F10:F17)/4)*ModuleProfitMSP</f>
        <v>13.654896266021298</v>
      </c>
      <c r="E18" s="30">
        <v>1</v>
      </c>
      <c r="F18" s="7">
        <f t="shared" si="0"/>
        <v>13.654896266021298</v>
      </c>
      <c r="G18" s="75">
        <f>ModuleMarketPrice-SUM(H10:H17,H19:H21)</f>
        <v>102.06331045711914</v>
      </c>
      <c r="H18" s="12">
        <f t="shared" si="1"/>
        <v>102.06331045711914</v>
      </c>
      <c r="I18" s="37" t="s">
        <v>83</v>
      </c>
      <c r="J18" s="2" t="s">
        <v>108</v>
      </c>
    </row>
    <row r="19" spans="1:10" ht="18" customHeight="1" x14ac:dyDescent="0.35">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x14ac:dyDescent="0.35">
      <c r="A20" s="13"/>
      <c r="B20" s="6"/>
      <c r="C20" s="28"/>
      <c r="D20" s="4"/>
      <c r="E20" s="30"/>
      <c r="F20" s="7">
        <f t="shared" si="0"/>
        <v>0</v>
      </c>
      <c r="G20" s="10"/>
      <c r="H20" s="12">
        <f t="shared" si="1"/>
        <v>0</v>
      </c>
      <c r="I20" s="37"/>
      <c r="J20" s="2"/>
    </row>
    <row r="21" spans="1:10" ht="18" customHeight="1" x14ac:dyDescent="0.35">
      <c r="A21" s="13"/>
      <c r="B21" s="6"/>
      <c r="C21" s="28"/>
      <c r="D21" s="4"/>
      <c r="E21" s="30"/>
      <c r="F21" s="7">
        <f t="shared" si="0"/>
        <v>0</v>
      </c>
      <c r="G21" s="10"/>
      <c r="H21" s="12">
        <f t="shared" si="1"/>
        <v>0</v>
      </c>
      <c r="I21" s="37"/>
      <c r="J21" s="2"/>
    </row>
    <row r="22" spans="1:10" x14ac:dyDescent="0.35">
      <c r="A22"/>
      <c r="B22"/>
      <c r="C22"/>
      <c r="D22"/>
      <c r="E22" s="15" t="s">
        <v>62</v>
      </c>
      <c r="F22" s="8">
        <f>SUM(F10:F21)</f>
        <v>232.28546335992257</v>
      </c>
      <c r="G22" s="15" t="s">
        <v>61</v>
      </c>
      <c r="H22" s="8">
        <f>SUM(H10:H21)</f>
        <v>336</v>
      </c>
      <c r="I22"/>
      <c r="J22"/>
    </row>
    <row r="23" spans="1:10" x14ac:dyDescent="0.35">
      <c r="F23" s="11"/>
    </row>
  </sheetData>
  <sheetProtection algorithmName="SHA-512" hashValue="GgBeVKCqwAwI6wPRLx1V1l/1NA20A0T/XWc/nyILnkNVa4WI9J0krgWM+25Kw5XZGEPfWHH1HkDi4xGS4iN1HQ==" saltValue="jI1MBLeDhhvcsLCfPX4yKQ=="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x14ac:dyDescent="0.35">
      <c r="A1" s="14" t="s">
        <v>2</v>
      </c>
      <c r="B1"/>
      <c r="C1"/>
      <c r="D1" s="25"/>
      <c r="E1"/>
      <c r="F1"/>
      <c r="G1"/>
      <c r="H1"/>
      <c r="I1"/>
      <c r="J1"/>
    </row>
    <row r="2" spans="1:15" ht="18" customHeight="1" x14ac:dyDescent="0.35">
      <c r="A2" s="71" t="s">
        <v>5</v>
      </c>
      <c r="B2" s="71"/>
      <c r="C2"/>
      <c r="D2" s="26"/>
      <c r="E2" s="27"/>
      <c r="F2"/>
      <c r="G2"/>
      <c r="H2" s="16"/>
      <c r="I2" t="s">
        <v>9</v>
      </c>
      <c r="J2"/>
    </row>
    <row r="3" spans="1:15" ht="18" customHeight="1" x14ac:dyDescent="0.35">
      <c r="A3" s="9">
        <v>1000000</v>
      </c>
      <c r="B3" s="17" t="s">
        <v>74</v>
      </c>
      <c r="C3"/>
      <c r="D3"/>
      <c r="E3"/>
      <c r="F3"/>
      <c r="G3"/>
      <c r="H3" s="17"/>
      <c r="I3" t="s">
        <v>10</v>
      </c>
      <c r="J3"/>
    </row>
    <row r="4" spans="1:15" ht="18" customHeight="1" x14ac:dyDescent="0.35">
      <c r="A4"/>
      <c r="B4"/>
      <c r="C4"/>
      <c r="D4"/>
      <c r="E4"/>
      <c r="F4"/>
      <c r="G4"/>
      <c r="H4" s="18"/>
      <c r="I4" t="s">
        <v>43</v>
      </c>
      <c r="J4"/>
    </row>
    <row r="5" spans="1:15" ht="18" customHeight="1" x14ac:dyDescent="0.35">
      <c r="A5" s="70" t="s">
        <v>281</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x14ac:dyDescent="0.35">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x14ac:dyDescent="0.35">
      <c r="A11" s="13" t="s">
        <v>114</v>
      </c>
      <c r="B11" s="6"/>
      <c r="C11" s="28" t="s">
        <v>74</v>
      </c>
      <c r="D11" s="4">
        <v>7.7</v>
      </c>
      <c r="E11" s="30">
        <v>1</v>
      </c>
      <c r="F11" s="7">
        <f t="shared" si="0"/>
        <v>7.7</v>
      </c>
      <c r="G11" s="5"/>
      <c r="H11" s="12">
        <f t="shared" si="1"/>
        <v>7.7</v>
      </c>
      <c r="I11" s="37"/>
      <c r="J11" s="2" t="s">
        <v>282</v>
      </c>
    </row>
    <row r="12" spans="1:15" ht="18" customHeight="1" x14ac:dyDescent="0.35">
      <c r="A12" s="13" t="s">
        <v>115</v>
      </c>
      <c r="B12" s="6"/>
      <c r="C12" s="28" t="s">
        <v>74</v>
      </c>
      <c r="D12" s="4">
        <v>3.3</v>
      </c>
      <c r="E12" s="30">
        <v>1</v>
      </c>
      <c r="F12" s="7">
        <f t="shared" si="0"/>
        <v>3.3</v>
      </c>
      <c r="G12" s="5"/>
      <c r="H12" s="12">
        <f t="shared" si="1"/>
        <v>3.3</v>
      </c>
      <c r="I12" s="37"/>
      <c r="J12" s="2"/>
    </row>
    <row r="13" spans="1:15" ht="18" customHeight="1" x14ac:dyDescent="0.35">
      <c r="A13" s="13" t="s">
        <v>116</v>
      </c>
      <c r="B13" s="6"/>
      <c r="C13" s="28" t="s">
        <v>74</v>
      </c>
      <c r="D13" s="4">
        <v>7.5</v>
      </c>
      <c r="E13" s="30">
        <v>1</v>
      </c>
      <c r="F13" s="7">
        <f t="shared" si="0"/>
        <v>7.5</v>
      </c>
      <c r="G13" s="5"/>
      <c r="H13" s="12">
        <f t="shared" si="1"/>
        <v>7.5</v>
      </c>
      <c r="I13" s="37"/>
      <c r="J13" s="2" t="s">
        <v>117</v>
      </c>
    </row>
    <row r="14" spans="1:15" ht="18" customHeight="1" x14ac:dyDescent="0.35">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x14ac:dyDescent="0.35">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x14ac:dyDescent="0.35">
      <c r="A16" s="13" t="s">
        <v>102</v>
      </c>
      <c r="B16" s="6"/>
      <c r="C16" s="28" t="s">
        <v>119</v>
      </c>
      <c r="D16" s="4">
        <v>6</v>
      </c>
      <c r="E16" s="30">
        <f>InverterDepreciation</f>
        <v>0.125</v>
      </c>
      <c r="F16" s="7">
        <f t="shared" si="0"/>
        <v>0.75</v>
      </c>
      <c r="G16" s="5"/>
      <c r="H16" s="12">
        <f t="shared" si="1"/>
        <v>0.75</v>
      </c>
      <c r="I16" s="37" t="s">
        <v>83</v>
      </c>
      <c r="J16" s="2" t="s">
        <v>283</v>
      </c>
    </row>
    <row r="17" spans="1:10" ht="18" customHeight="1" x14ac:dyDescent="0.35">
      <c r="A17" s="13" t="s">
        <v>105</v>
      </c>
      <c r="B17" s="6"/>
      <c r="C17" s="28" t="s">
        <v>74</v>
      </c>
      <c r="D17" s="4">
        <v>0.24</v>
      </c>
      <c r="E17" s="30">
        <v>1</v>
      </c>
      <c r="F17" s="7">
        <f t="shared" si="0"/>
        <v>0.24</v>
      </c>
      <c r="G17" s="5"/>
      <c r="H17" s="12">
        <f t="shared" si="1"/>
        <v>0.24</v>
      </c>
      <c r="I17" s="37" t="s">
        <v>83</v>
      </c>
      <c r="J17" s="2" t="s">
        <v>131</v>
      </c>
    </row>
    <row r="18" spans="1:10" ht="18" customHeight="1" x14ac:dyDescent="0.35">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x14ac:dyDescent="0.35">
      <c r="A19" s="13" t="s">
        <v>109</v>
      </c>
      <c r="B19" s="6"/>
      <c r="C19" s="29" t="s">
        <v>110</v>
      </c>
      <c r="D19" s="4">
        <v>30</v>
      </c>
      <c r="E19" s="30">
        <f>InverterWeight</f>
        <v>0.78900000000000003</v>
      </c>
      <c r="F19" s="7">
        <f t="shared" si="0"/>
        <v>23.67</v>
      </c>
      <c r="G19" s="5"/>
      <c r="H19" s="12">
        <f t="shared" si="1"/>
        <v>23.67</v>
      </c>
      <c r="I19" s="37" t="s">
        <v>83</v>
      </c>
      <c r="J19" s="2"/>
    </row>
    <row r="20" spans="1:10" ht="18" customHeight="1" x14ac:dyDescent="0.35">
      <c r="A20" s="13" t="s">
        <v>285</v>
      </c>
      <c r="B20" s="6"/>
      <c r="C20" s="24" t="s">
        <v>74</v>
      </c>
      <c r="D20" s="4"/>
      <c r="E20" s="30">
        <v>1</v>
      </c>
      <c r="F20" s="7">
        <f t="shared" si="0"/>
        <v>0</v>
      </c>
      <c r="G20" s="67">
        <f>SUM(H10:H18)*Tariff301</f>
        <v>10.266</v>
      </c>
      <c r="H20" s="12">
        <f t="shared" si="1"/>
        <v>10.266</v>
      </c>
      <c r="I20" s="37" t="s">
        <v>83</v>
      </c>
      <c r="J20" s="2" t="s">
        <v>286</v>
      </c>
    </row>
    <row r="21" spans="1:10" ht="18" customHeight="1" x14ac:dyDescent="0.35">
      <c r="A21" s="13"/>
      <c r="B21" s="6"/>
      <c r="C21" s="24"/>
      <c r="D21" s="4"/>
      <c r="E21" s="30"/>
      <c r="F21" s="7">
        <f t="shared" si="0"/>
        <v>0</v>
      </c>
      <c r="G21" s="5"/>
      <c r="H21" s="12">
        <f t="shared" si="1"/>
        <v>0</v>
      </c>
      <c r="I21" s="37"/>
      <c r="J21" s="2"/>
    </row>
    <row r="22" spans="1:10" x14ac:dyDescent="0.35">
      <c r="A22"/>
      <c r="B22"/>
      <c r="C22"/>
      <c r="D22"/>
      <c r="E22" s="15" t="s">
        <v>62</v>
      </c>
      <c r="F22" s="8">
        <f>SUM(F10:F21)</f>
        <v>63.199860000000001</v>
      </c>
      <c r="G22" s="15" t="s">
        <v>61</v>
      </c>
      <c r="H22" s="8">
        <f>SUM(H10:H21)</f>
        <v>75.000000000000014</v>
      </c>
      <c r="I22"/>
      <c r="J22"/>
    </row>
    <row r="23" spans="1:10" x14ac:dyDescent="0.35">
      <c r="F23" s="11"/>
    </row>
  </sheetData>
  <sheetProtection algorithmName="SHA-512" hashValue="JVtx/4o9m+L6+Y1YBfvQUNLfqSYcXjSo/5hR9Rge4YrOI7Afcx1QfvR3gzwK2qQaB3O9/CuUJ8R/UPJ6kKVzdQ==" saltValue="cJKMueTg5Qep1NmXOlkYrQ=="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x14ac:dyDescent="0.35">
      <c r="A1" s="14" t="s">
        <v>23</v>
      </c>
      <c r="B1"/>
      <c r="C1"/>
      <c r="D1" s="25"/>
      <c r="E1"/>
      <c r="F1"/>
      <c r="G1"/>
      <c r="H1"/>
      <c r="I1"/>
      <c r="J1"/>
    </row>
    <row r="2" spans="1:15" ht="18" customHeight="1" x14ac:dyDescent="0.35">
      <c r="A2" s="71" t="s">
        <v>5</v>
      </c>
      <c r="B2" s="71"/>
      <c r="C2"/>
      <c r="D2" s="26"/>
      <c r="E2" s="27"/>
      <c r="F2"/>
      <c r="G2"/>
      <c r="H2" s="16"/>
      <c r="I2" t="s">
        <v>9</v>
      </c>
      <c r="J2"/>
    </row>
    <row r="3" spans="1:15" ht="18" customHeight="1" x14ac:dyDescent="0.35">
      <c r="A3" s="9">
        <v>1000000</v>
      </c>
      <c r="B3" s="17" t="s">
        <v>73</v>
      </c>
      <c r="C3"/>
      <c r="D3"/>
      <c r="E3"/>
      <c r="F3"/>
      <c r="G3"/>
      <c r="H3" s="17"/>
      <c r="I3" t="s">
        <v>10</v>
      </c>
      <c r="J3"/>
    </row>
    <row r="4" spans="1:15" ht="18" customHeight="1" x14ac:dyDescent="0.35">
      <c r="A4"/>
      <c r="B4"/>
      <c r="C4"/>
      <c r="D4"/>
      <c r="E4"/>
      <c r="F4"/>
      <c r="G4"/>
      <c r="H4" s="18"/>
      <c r="I4" t="s">
        <v>43</v>
      </c>
      <c r="J4"/>
    </row>
    <row r="5" spans="1:15" ht="18" customHeight="1" x14ac:dyDescent="0.35">
      <c r="A5" s="70" t="s">
        <v>120</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x14ac:dyDescent="0.35">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x14ac:dyDescent="0.35">
      <c r="A11" s="13" t="s">
        <v>123</v>
      </c>
      <c r="B11" s="6"/>
      <c r="C11" s="28" t="s">
        <v>73</v>
      </c>
      <c r="D11" s="4">
        <v>25</v>
      </c>
      <c r="E11" s="30">
        <v>1</v>
      </c>
      <c r="F11" s="7">
        <f t="shared" si="0"/>
        <v>25</v>
      </c>
      <c r="G11" s="5"/>
      <c r="H11" s="12">
        <f t="shared" si="1"/>
        <v>25</v>
      </c>
      <c r="I11" s="37"/>
      <c r="J11" s="2" t="s">
        <v>124</v>
      </c>
    </row>
    <row r="12" spans="1:15" ht="18" customHeight="1" x14ac:dyDescent="0.35">
      <c r="A12" s="13" t="s">
        <v>116</v>
      </c>
      <c r="B12" s="6"/>
      <c r="C12" s="28" t="s">
        <v>73</v>
      </c>
      <c r="D12" s="4">
        <v>20</v>
      </c>
      <c r="E12" s="30">
        <v>1</v>
      </c>
      <c r="F12" s="7">
        <f t="shared" si="0"/>
        <v>20</v>
      </c>
      <c r="G12" s="5"/>
      <c r="H12" s="12">
        <f t="shared" si="1"/>
        <v>20</v>
      </c>
      <c r="I12" s="37"/>
      <c r="J12" s="2" t="s">
        <v>125</v>
      </c>
    </row>
    <row r="13" spans="1:15" ht="18" customHeight="1" x14ac:dyDescent="0.35">
      <c r="A13" s="13" t="s">
        <v>126</v>
      </c>
      <c r="B13" s="6"/>
      <c r="C13" s="28" t="s">
        <v>74</v>
      </c>
      <c r="D13" s="4">
        <v>90</v>
      </c>
      <c r="E13" s="30">
        <f>1/( BatteryDuration* ESS_ILR)</f>
        <v>0.25</v>
      </c>
      <c r="F13" s="7">
        <f t="shared" si="0"/>
        <v>22.5</v>
      </c>
      <c r="G13" s="5"/>
      <c r="H13" s="12">
        <f t="shared" si="1"/>
        <v>22.5</v>
      </c>
      <c r="I13" s="37"/>
      <c r="J13" s="2" t="s">
        <v>127</v>
      </c>
    </row>
    <row r="14" spans="1:15" ht="18" customHeight="1" x14ac:dyDescent="0.35">
      <c r="A14" s="13" t="s">
        <v>96</v>
      </c>
      <c r="B14" s="6">
        <v>2200000</v>
      </c>
      <c r="C14" s="28" t="s">
        <v>97</v>
      </c>
      <c r="D14" s="4">
        <v>34</v>
      </c>
      <c r="E14" s="30">
        <f xml:space="preserve"> ESSLabor</f>
        <v>0.22</v>
      </c>
      <c r="F14" s="7">
        <f t="shared" si="0"/>
        <v>9.68</v>
      </c>
      <c r="G14" s="5"/>
      <c r="H14" s="12">
        <f t="shared" si="1"/>
        <v>9.68</v>
      </c>
      <c r="I14" s="37"/>
      <c r="J14" s="2" t="s">
        <v>118</v>
      </c>
    </row>
    <row r="15" spans="1:15" ht="18" customHeight="1" x14ac:dyDescent="0.35">
      <c r="A15" s="13" t="s">
        <v>99</v>
      </c>
      <c r="B15" s="6"/>
      <c r="C15" s="28" t="s">
        <v>100</v>
      </c>
      <c r="D15" s="4">
        <v>0.08</v>
      </c>
      <c r="E15" s="30">
        <f>ESSElectricity</f>
        <v>30.5</v>
      </c>
      <c r="F15" s="7">
        <f t="shared" si="0"/>
        <v>2.44</v>
      </c>
      <c r="G15" s="5"/>
      <c r="H15" s="12">
        <f t="shared" si="1"/>
        <v>2.44</v>
      </c>
      <c r="I15" s="37" t="s">
        <v>83</v>
      </c>
      <c r="J15" s="2" t="s">
        <v>128</v>
      </c>
    </row>
    <row r="16" spans="1:15" ht="18" customHeight="1" x14ac:dyDescent="0.35">
      <c r="A16" s="13" t="s">
        <v>102</v>
      </c>
      <c r="B16" s="6"/>
      <c r="C16" s="28" t="s">
        <v>129</v>
      </c>
      <c r="D16" s="4">
        <v>7</v>
      </c>
      <c r="E16" s="30">
        <f>ESSDepreciation</f>
        <v>0.11</v>
      </c>
      <c r="F16" s="7">
        <f t="shared" si="0"/>
        <v>0.77</v>
      </c>
      <c r="G16" s="5"/>
      <c r="H16" s="12">
        <f t="shared" si="1"/>
        <v>0.77</v>
      </c>
      <c r="I16" s="37" t="s">
        <v>83</v>
      </c>
      <c r="J16" s="2" t="s">
        <v>130</v>
      </c>
    </row>
    <row r="17" spans="1:10" ht="18" customHeight="1" x14ac:dyDescent="0.35">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x14ac:dyDescent="0.35">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x14ac:dyDescent="0.35">
      <c r="A19" s="13" t="s">
        <v>109</v>
      </c>
      <c r="B19" s="6"/>
      <c r="C19" s="28" t="s">
        <v>110</v>
      </c>
      <c r="D19" s="4">
        <v>1</v>
      </c>
      <c r="E19" s="30">
        <f>ESSWeight</f>
        <v>9.4</v>
      </c>
      <c r="F19" s="7">
        <f t="shared" si="0"/>
        <v>9.4</v>
      </c>
      <c r="G19" s="5"/>
      <c r="H19" s="12">
        <f t="shared" si="1"/>
        <v>9.4</v>
      </c>
      <c r="I19" s="37" t="s">
        <v>83</v>
      </c>
      <c r="J19" s="2"/>
    </row>
    <row r="20" spans="1:10" ht="18" customHeight="1" x14ac:dyDescent="0.35">
      <c r="A20" s="13" t="s">
        <v>133</v>
      </c>
      <c r="B20" s="6"/>
      <c r="C20" s="24" t="s">
        <v>73</v>
      </c>
      <c r="D20" s="4"/>
      <c r="E20" s="30">
        <v>1</v>
      </c>
      <c r="F20" s="7">
        <f t="shared" si="0"/>
        <v>0</v>
      </c>
      <c r="G20" s="67">
        <f>D20-0.5*Battery45X</f>
        <v>-5</v>
      </c>
      <c r="H20" s="12">
        <f t="shared" si="1"/>
        <v>-5</v>
      </c>
      <c r="I20" s="37" t="s">
        <v>83</v>
      </c>
      <c r="J20" s="2" t="s">
        <v>134</v>
      </c>
    </row>
    <row r="21" spans="1:10" ht="18" customHeight="1" x14ac:dyDescent="0.35">
      <c r="A21" s="13"/>
      <c r="B21" s="6"/>
      <c r="C21" s="28"/>
      <c r="D21" s="4"/>
      <c r="E21" s="30"/>
      <c r="F21" s="7">
        <f t="shared" si="0"/>
        <v>0</v>
      </c>
      <c r="G21" s="5"/>
      <c r="H21" s="12">
        <f t="shared" si="1"/>
        <v>0</v>
      </c>
      <c r="I21" s="37"/>
      <c r="J21" s="2"/>
    </row>
    <row r="22" spans="1:10" x14ac:dyDescent="0.35">
      <c r="A22"/>
      <c r="B22"/>
      <c r="C22"/>
      <c r="D22"/>
      <c r="E22" s="15" t="s">
        <v>62</v>
      </c>
      <c r="F22" s="8">
        <f>SUM(F10:F21)</f>
        <v>176.54937500000003</v>
      </c>
      <c r="G22" s="15" t="s">
        <v>61</v>
      </c>
      <c r="H22" s="8">
        <f>SUM(H10:H21)</f>
        <v>228</v>
      </c>
      <c r="I22"/>
      <c r="J22"/>
    </row>
    <row r="23" spans="1:10" x14ac:dyDescent="0.35">
      <c r="F23" s="11"/>
    </row>
    <row r="25" spans="1:10" x14ac:dyDescent="0.35">
      <c r="A25"/>
      <c r="B25"/>
      <c r="C25"/>
      <c r="D25"/>
      <c r="E25"/>
      <c r="F25"/>
      <c r="G25"/>
    </row>
    <row r="26" spans="1:10" x14ac:dyDescent="0.35">
      <c r="A26"/>
      <c r="B26"/>
      <c r="C26"/>
      <c r="D26"/>
      <c r="E26"/>
      <c r="F26"/>
      <c r="G26"/>
    </row>
    <row r="27" spans="1:10" x14ac:dyDescent="0.35">
      <c r="A27"/>
      <c r="B27"/>
      <c r="C27"/>
      <c r="D27"/>
      <c r="E27"/>
      <c r="F27"/>
      <c r="G27"/>
    </row>
    <row r="28" spans="1:10" x14ac:dyDescent="0.35">
      <c r="A28"/>
      <c r="B28"/>
      <c r="C28"/>
      <c r="D28"/>
      <c r="E28"/>
      <c r="F28"/>
      <c r="G28"/>
    </row>
  </sheetData>
  <sheetProtection algorithmName="SHA-512" hashValue="UTtkPI2ajPDhmxadOAg+8SDgRx1FTzBv1AuhZ/M/h++7dq9vkV16YqbLFDRd3qnt79osonqPogMklq5xZgbN9A==" saltValue="AXTtpTVZ6r4d5sa/4kdv4w=="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x14ac:dyDescent="0.35">
      <c r="A1" s="14" t="s">
        <v>17</v>
      </c>
      <c r="B1"/>
      <c r="C1"/>
      <c r="D1" s="25"/>
      <c r="E1"/>
      <c r="F1"/>
      <c r="G1"/>
      <c r="H1"/>
      <c r="I1"/>
      <c r="J1"/>
    </row>
    <row r="2" spans="1:15" ht="18" customHeight="1" x14ac:dyDescent="0.35">
      <c r="A2" s="71" t="str">
        <f>System!A2</f>
        <v>System Size</v>
      </c>
      <c r="B2" s="71"/>
      <c r="C2"/>
      <c r="D2" s="26"/>
      <c r="E2" s="27"/>
      <c r="F2"/>
      <c r="G2"/>
      <c r="H2" s="16"/>
      <c r="I2" t="s">
        <v>9</v>
      </c>
      <c r="J2"/>
    </row>
    <row r="3" spans="1:15" ht="18" customHeight="1" x14ac:dyDescent="0.35">
      <c r="A3" s="63">
        <f>SystemSize/ModuleEfficiency</f>
        <v>274.34999999999997</v>
      </c>
      <c r="B3" s="13" t="s">
        <v>91</v>
      </c>
      <c r="C3"/>
      <c r="D3"/>
      <c r="E3"/>
      <c r="F3"/>
      <c r="G3"/>
      <c r="H3" s="17"/>
      <c r="I3" t="s">
        <v>10</v>
      </c>
      <c r="J3"/>
    </row>
    <row r="4" spans="1:15" ht="18" customHeight="1" x14ac:dyDescent="0.35">
      <c r="A4"/>
      <c r="B4"/>
      <c r="C4"/>
      <c r="D4"/>
      <c r="E4"/>
      <c r="F4"/>
      <c r="G4"/>
      <c r="H4" s="18"/>
      <c r="I4" t="s">
        <v>43</v>
      </c>
      <c r="J4"/>
    </row>
    <row r="5" spans="1:15" ht="18" customHeight="1" x14ac:dyDescent="0.35">
      <c r="A5" s="70" t="s">
        <v>287</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x14ac:dyDescent="0.35">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x14ac:dyDescent="0.35">
      <c r="A11" s="13" t="s">
        <v>135</v>
      </c>
      <c r="B11" s="6"/>
      <c r="C11" s="28" t="s">
        <v>136</v>
      </c>
      <c r="D11" s="4">
        <v>200</v>
      </c>
      <c r="E11" s="30">
        <f>PiersPerRow/(RowLength*ModuleHeight)</f>
        <v>2.9281493377457887E-2</v>
      </c>
      <c r="F11" s="7">
        <f t="shared" si="0"/>
        <v>5.8562986754915771</v>
      </c>
      <c r="G11" s="5"/>
      <c r="H11" s="12">
        <f t="shared" si="1"/>
        <v>5.8562986754915771</v>
      </c>
      <c r="I11" s="61"/>
      <c r="J11" s="2" t="s">
        <v>137</v>
      </c>
    </row>
    <row r="12" spans="1:15" ht="18" customHeight="1" x14ac:dyDescent="0.35">
      <c r="A12" s="13" t="s">
        <v>138</v>
      </c>
      <c r="B12" s="6"/>
      <c r="C12" s="28" t="s">
        <v>89</v>
      </c>
      <c r="D12" s="4">
        <v>2.1</v>
      </c>
      <c r="E12" s="30">
        <f>1/ModuleWidth</f>
        <v>0.62460961898813239</v>
      </c>
      <c r="F12" s="7">
        <f t="shared" si="0"/>
        <v>1.311680199875078</v>
      </c>
      <c r="G12" s="67">
        <f>D12*(1+Tariff301)</f>
        <v>2.625</v>
      </c>
      <c r="H12" s="12">
        <f t="shared" si="1"/>
        <v>1.6396002498438476</v>
      </c>
      <c r="I12" s="61"/>
      <c r="J12" s="2" t="s">
        <v>139</v>
      </c>
    </row>
    <row r="13" spans="1:15" ht="18" customHeight="1" x14ac:dyDescent="0.35">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x14ac:dyDescent="0.35">
      <c r="A14" s="13" t="s">
        <v>109</v>
      </c>
      <c r="B14" s="6"/>
      <c r="C14" s="28" t="s">
        <v>110</v>
      </c>
      <c r="D14" s="4">
        <v>0.6</v>
      </c>
      <c r="E14" s="30">
        <f>IncludeIndirect*SBOSshippingWeight</f>
        <v>10</v>
      </c>
      <c r="F14" s="7">
        <f t="shared" si="0"/>
        <v>6</v>
      </c>
      <c r="G14" s="5"/>
      <c r="H14" s="12">
        <f t="shared" si="1"/>
        <v>6</v>
      </c>
      <c r="I14" s="61" t="s">
        <v>83</v>
      </c>
      <c r="J14" s="2"/>
    </row>
    <row r="15" spans="1:15" ht="18" customHeight="1" x14ac:dyDescent="0.35">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x14ac:dyDescent="0.35">
      <c r="A16" s="13"/>
      <c r="B16" s="6"/>
      <c r="C16" s="28"/>
      <c r="D16" s="4"/>
      <c r="E16" s="30"/>
      <c r="F16" s="7">
        <f t="shared" si="0"/>
        <v>0</v>
      </c>
      <c r="G16" s="5"/>
      <c r="H16" s="12">
        <f t="shared" si="1"/>
        <v>0</v>
      </c>
      <c r="I16" s="61"/>
      <c r="J16" s="2"/>
    </row>
    <row r="17" spans="1:10" ht="18" customHeight="1" x14ac:dyDescent="0.35">
      <c r="A17" s="13"/>
      <c r="B17" s="6"/>
      <c r="C17" s="28"/>
      <c r="D17" s="4"/>
      <c r="E17" s="30"/>
      <c r="F17" s="7">
        <f t="shared" si="0"/>
        <v>0</v>
      </c>
      <c r="G17" s="5"/>
      <c r="H17" s="12">
        <f t="shared" si="1"/>
        <v>0</v>
      </c>
      <c r="I17" s="61"/>
      <c r="J17" s="2"/>
    </row>
    <row r="18" spans="1:10" ht="18" customHeight="1" x14ac:dyDescent="0.35">
      <c r="A18" s="13"/>
      <c r="B18" s="6"/>
      <c r="C18" s="29"/>
      <c r="D18" s="4"/>
      <c r="E18" s="30"/>
      <c r="F18" s="7">
        <f t="shared" si="0"/>
        <v>0</v>
      </c>
      <c r="G18" s="5"/>
      <c r="H18" s="12">
        <f t="shared" si="1"/>
        <v>0</v>
      </c>
      <c r="I18" s="61"/>
      <c r="J18" s="2"/>
    </row>
    <row r="19" spans="1:10" ht="18" customHeight="1" x14ac:dyDescent="0.35">
      <c r="A19" s="13"/>
      <c r="B19" s="6"/>
      <c r="C19" s="29"/>
      <c r="D19" s="4"/>
      <c r="E19" s="30"/>
      <c r="F19" s="7">
        <f t="shared" si="0"/>
        <v>0</v>
      </c>
      <c r="G19" s="5"/>
      <c r="H19" s="12">
        <f t="shared" si="1"/>
        <v>0</v>
      </c>
      <c r="I19" s="61"/>
      <c r="J19" s="2"/>
    </row>
    <row r="20" spans="1:10" ht="18" customHeight="1" x14ac:dyDescent="0.35">
      <c r="A20" s="13"/>
      <c r="B20" s="6"/>
      <c r="C20" s="24"/>
      <c r="D20" s="4"/>
      <c r="E20" s="30"/>
      <c r="F20" s="7">
        <f t="shared" si="0"/>
        <v>0</v>
      </c>
      <c r="G20" s="5"/>
      <c r="H20" s="12">
        <f t="shared" si="1"/>
        <v>0</v>
      </c>
      <c r="I20" s="61"/>
      <c r="J20" s="2"/>
    </row>
    <row r="21" spans="1:10" ht="18" customHeight="1" x14ac:dyDescent="0.35">
      <c r="A21" s="13"/>
      <c r="B21" s="6"/>
      <c r="C21" s="24"/>
      <c r="D21" s="4"/>
      <c r="E21" s="30"/>
      <c r="F21" s="7">
        <f t="shared" si="0"/>
        <v>0</v>
      </c>
      <c r="G21" s="5"/>
      <c r="H21" s="12">
        <f t="shared" si="1"/>
        <v>0</v>
      </c>
      <c r="I21" s="61"/>
      <c r="J21" s="2"/>
    </row>
    <row r="22" spans="1:10" x14ac:dyDescent="0.35">
      <c r="A22"/>
      <c r="B22"/>
      <c r="C22"/>
      <c r="D22"/>
      <c r="E22" s="15" t="s">
        <v>62</v>
      </c>
      <c r="F22" s="8">
        <f>SUM(F10:F21)</f>
        <v>28.357978875366655</v>
      </c>
      <c r="G22" s="15" t="s">
        <v>61</v>
      </c>
      <c r="H22" s="8">
        <f>SUM(H10:H21)</f>
        <v>28.795898925335425</v>
      </c>
      <c r="I22"/>
      <c r="J22"/>
    </row>
    <row r="23" spans="1:10" x14ac:dyDescent="0.35">
      <c r="F23" s="11"/>
    </row>
  </sheetData>
  <sheetProtection algorithmName="SHA-512" hashValue="ukdU41PzCTenTO4fNhy6C6bk/po0vWs7YCpwDQkUKGjsQj7f5SRb15iOu8Zn9fL68J73J8ppUdFtENCEZpVsmA==" saltValue="uEBdRGYyv3cdKJR/5d6udQ=="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x14ac:dyDescent="0.35">
      <c r="A1" s="14" t="s">
        <v>20</v>
      </c>
      <c r="B1"/>
      <c r="C1"/>
      <c r="D1" s="25"/>
      <c r="E1"/>
      <c r="F1"/>
      <c r="G1"/>
      <c r="H1"/>
      <c r="I1"/>
      <c r="J1"/>
    </row>
    <row r="2" spans="1:15" ht="18" customHeight="1" x14ac:dyDescent="0.35">
      <c r="A2" s="71" t="str">
        <f>System!A2</f>
        <v>System Size</v>
      </c>
      <c r="B2" s="71"/>
      <c r="C2"/>
      <c r="D2" s="26"/>
      <c r="E2" s="27"/>
      <c r="F2"/>
      <c r="G2"/>
      <c r="H2" s="16"/>
      <c r="I2" t="s">
        <v>9</v>
      </c>
      <c r="J2"/>
    </row>
    <row r="3" spans="1:15" ht="18" customHeight="1" x14ac:dyDescent="0.35">
      <c r="A3" s="62">
        <f>SystemSize/ILR</f>
        <v>40.051094890510946</v>
      </c>
      <c r="B3" s="13" t="s">
        <v>74</v>
      </c>
      <c r="C3"/>
      <c r="D3"/>
      <c r="E3"/>
      <c r="F3"/>
      <c r="G3"/>
      <c r="H3" s="17"/>
      <c r="I3" t="s">
        <v>10</v>
      </c>
      <c r="J3"/>
    </row>
    <row r="4" spans="1:15" ht="18" customHeight="1" x14ac:dyDescent="0.35">
      <c r="A4"/>
      <c r="B4"/>
      <c r="C4"/>
      <c r="D4"/>
      <c r="E4"/>
      <c r="F4"/>
      <c r="G4"/>
      <c r="H4" s="18"/>
      <c r="I4" t="s">
        <v>43</v>
      </c>
      <c r="J4"/>
    </row>
    <row r="5" spans="1:15" ht="18" customHeight="1" x14ac:dyDescent="0.35">
      <c r="A5" s="70" t="s">
        <v>291</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x14ac:dyDescent="0.35">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x14ac:dyDescent="0.35">
      <c r="A11" s="13" t="s">
        <v>293</v>
      </c>
      <c r="B11" s="6"/>
      <c r="C11" s="28" t="s">
        <v>74</v>
      </c>
      <c r="D11" s="4">
        <v>30</v>
      </c>
      <c r="E11" s="30">
        <v>1</v>
      </c>
      <c r="F11" s="7">
        <f t="shared" si="0"/>
        <v>30</v>
      </c>
      <c r="G11" s="67">
        <f>D11*(1+Tariff301)</f>
        <v>37.5</v>
      </c>
      <c r="H11" s="12">
        <f t="shared" si="1"/>
        <v>37.5</v>
      </c>
      <c r="I11" s="37"/>
      <c r="J11" s="2" t="s">
        <v>294</v>
      </c>
    </row>
    <row r="12" spans="1:15" ht="18" customHeight="1" x14ac:dyDescent="0.35">
      <c r="A12" s="13" t="s">
        <v>145</v>
      </c>
      <c r="B12" s="6"/>
      <c r="C12" s="28" t="s">
        <v>74</v>
      </c>
      <c r="D12" s="4">
        <v>60</v>
      </c>
      <c r="E12" s="30">
        <v>1</v>
      </c>
      <c r="F12" s="7">
        <f t="shared" si="0"/>
        <v>60</v>
      </c>
      <c r="G12" s="5"/>
      <c r="H12" s="12">
        <f t="shared" si="1"/>
        <v>60</v>
      </c>
      <c r="I12" s="37"/>
      <c r="J12" s="2" t="s">
        <v>295</v>
      </c>
    </row>
    <row r="13" spans="1:15" ht="18" customHeight="1" x14ac:dyDescent="0.35">
      <c r="A13" s="13" t="s">
        <v>147</v>
      </c>
      <c r="B13" s="6"/>
      <c r="C13" s="28" t="s">
        <v>74</v>
      </c>
      <c r="D13" s="4">
        <v>25</v>
      </c>
      <c r="E13" s="30">
        <v>1</v>
      </c>
      <c r="F13" s="7">
        <f t="shared" si="0"/>
        <v>25</v>
      </c>
      <c r="G13" s="5"/>
      <c r="H13" s="12">
        <f t="shared" si="1"/>
        <v>25</v>
      </c>
      <c r="I13" s="37"/>
      <c r="J13" s="2" t="s">
        <v>296</v>
      </c>
    </row>
    <row r="14" spans="1:15" ht="18" customHeight="1" x14ac:dyDescent="0.35">
      <c r="A14" s="13" t="s">
        <v>146</v>
      </c>
      <c r="B14" s="6"/>
      <c r="C14" s="28" t="s">
        <v>74</v>
      </c>
      <c r="D14" s="4">
        <v>30</v>
      </c>
      <c r="E14" s="30">
        <v>1</v>
      </c>
      <c r="F14" s="7">
        <f t="shared" si="0"/>
        <v>30</v>
      </c>
      <c r="G14" s="67">
        <f>D14*(1+Tariff301)</f>
        <v>37.5</v>
      </c>
      <c r="H14" s="12">
        <f t="shared" si="1"/>
        <v>37.5</v>
      </c>
      <c r="I14" s="37"/>
      <c r="J14" s="2" t="s">
        <v>297</v>
      </c>
    </row>
    <row r="15" spans="1:15" ht="18" customHeight="1" x14ac:dyDescent="0.35">
      <c r="A15" s="13" t="s">
        <v>298</v>
      </c>
      <c r="B15" s="6"/>
      <c r="C15" s="28" t="s">
        <v>74</v>
      </c>
      <c r="D15" s="4">
        <v>15</v>
      </c>
      <c r="E15" s="30">
        <f>IncludeIndirect*1</f>
        <v>1</v>
      </c>
      <c r="F15" s="7">
        <f t="shared" si="0"/>
        <v>15</v>
      </c>
      <c r="G15" s="5"/>
      <c r="H15" s="12">
        <f t="shared" si="1"/>
        <v>15</v>
      </c>
      <c r="I15" s="37" t="s">
        <v>83</v>
      </c>
      <c r="J15" s="2"/>
    </row>
    <row r="16" spans="1:15" ht="18" customHeight="1" x14ac:dyDescent="0.35">
      <c r="A16" s="13" t="s">
        <v>109</v>
      </c>
      <c r="B16" s="6"/>
      <c r="C16" s="28" t="s">
        <v>110</v>
      </c>
      <c r="D16" s="4">
        <v>0.5</v>
      </c>
      <c r="E16" s="30">
        <f>IncludeIndirect*EBOSweight</f>
        <v>2</v>
      </c>
      <c r="F16" s="7">
        <f t="shared" si="0"/>
        <v>1</v>
      </c>
      <c r="G16" s="5"/>
      <c r="H16" s="12">
        <f t="shared" si="1"/>
        <v>1</v>
      </c>
      <c r="I16" s="37" t="s">
        <v>83</v>
      </c>
      <c r="J16" s="2"/>
    </row>
    <row r="17" spans="1:10" ht="18" customHeight="1" x14ac:dyDescent="0.35">
      <c r="A17" s="13"/>
      <c r="B17" s="6"/>
      <c r="C17" s="28"/>
      <c r="D17" s="4"/>
      <c r="E17" s="30"/>
      <c r="F17" s="7">
        <f t="shared" si="0"/>
        <v>0</v>
      </c>
      <c r="G17" s="5"/>
      <c r="H17" s="12">
        <f t="shared" si="1"/>
        <v>0</v>
      </c>
      <c r="I17" s="37"/>
      <c r="J17" s="2"/>
    </row>
    <row r="18" spans="1:10" ht="18" customHeight="1" x14ac:dyDescent="0.35">
      <c r="A18" s="13"/>
      <c r="B18" s="6"/>
      <c r="C18" s="29"/>
      <c r="D18" s="4"/>
      <c r="E18" s="30"/>
      <c r="F18" s="7">
        <f t="shared" si="0"/>
        <v>0</v>
      </c>
      <c r="G18" s="5"/>
      <c r="H18" s="12">
        <f t="shared" si="1"/>
        <v>0</v>
      </c>
      <c r="I18" s="37"/>
      <c r="J18" s="2"/>
    </row>
    <row r="19" spans="1:10" ht="18" customHeight="1" x14ac:dyDescent="0.35">
      <c r="A19" s="13"/>
      <c r="B19" s="6"/>
      <c r="C19" s="24"/>
      <c r="D19" s="4"/>
      <c r="E19" s="30"/>
      <c r="F19" s="7">
        <f t="shared" si="0"/>
        <v>0</v>
      </c>
      <c r="G19" s="5"/>
      <c r="H19" s="12">
        <f t="shared" si="1"/>
        <v>0</v>
      </c>
      <c r="I19" s="37"/>
      <c r="J19" s="2"/>
    </row>
    <row r="20" spans="1:10" ht="18" customHeight="1" x14ac:dyDescent="0.35">
      <c r="A20" s="13"/>
      <c r="B20" s="6"/>
      <c r="C20" s="24"/>
      <c r="D20" s="4"/>
      <c r="E20" s="30"/>
      <c r="F20" s="7">
        <f t="shared" si="0"/>
        <v>0</v>
      </c>
      <c r="G20" s="5"/>
      <c r="H20" s="12">
        <f t="shared" si="1"/>
        <v>0</v>
      </c>
      <c r="I20" s="37"/>
      <c r="J20" s="2"/>
    </row>
    <row r="21" spans="1:10" ht="18" customHeight="1" x14ac:dyDescent="0.35">
      <c r="A21" s="13"/>
      <c r="B21" s="6"/>
      <c r="C21" s="28"/>
      <c r="D21" s="4"/>
      <c r="E21" s="30"/>
      <c r="F21" s="7">
        <f t="shared" si="0"/>
        <v>0</v>
      </c>
      <c r="G21" s="5"/>
      <c r="H21" s="12">
        <f t="shared" si="1"/>
        <v>0</v>
      </c>
      <c r="I21" s="37"/>
      <c r="J21" s="2"/>
    </row>
    <row r="22" spans="1:10" x14ac:dyDescent="0.35">
      <c r="A22"/>
      <c r="B22"/>
      <c r="C22"/>
      <c r="D22"/>
      <c r="E22" s="15" t="s">
        <v>62</v>
      </c>
      <c r="F22" s="8">
        <f>SUM(F10:F21)</f>
        <v>251</v>
      </c>
      <c r="G22" s="15" t="s">
        <v>61</v>
      </c>
      <c r="H22" s="8">
        <f>SUM(H10:H21)</f>
        <v>266</v>
      </c>
      <c r="I22"/>
      <c r="J22"/>
    </row>
    <row r="23" spans="1:10" x14ac:dyDescent="0.35">
      <c r="F23" s="11"/>
    </row>
    <row r="26" spans="1:10" x14ac:dyDescent="0.35">
      <c r="A26"/>
      <c r="B26"/>
      <c r="C26"/>
      <c r="D26"/>
      <c r="E26"/>
      <c r="F26"/>
      <c r="G26"/>
      <c r="H26"/>
    </row>
    <row r="27" spans="1:10" x14ac:dyDescent="0.35">
      <c r="A27"/>
      <c r="B27"/>
      <c r="C27"/>
      <c r="D27"/>
      <c r="E27"/>
      <c r="F27"/>
      <c r="G27"/>
      <c r="H27"/>
    </row>
  </sheetData>
  <sheetProtection algorithmName="SHA-512" hashValue="4uV7DVMfMl+wIZogmXiKHMtR6DUtj7TSAEO4vYriYOP5wCSo92jJigwRXxfmfpqCVI4G+zpeglvcVyBL1+RHgA==" saltValue="P0vspLrQAGYxv+nHcjcvow=="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x14ac:dyDescent="0.35">
      <c r="A1" s="14" t="s">
        <v>40</v>
      </c>
      <c r="B1"/>
      <c r="C1"/>
      <c r="D1" s="25"/>
      <c r="E1"/>
      <c r="F1"/>
      <c r="G1"/>
      <c r="H1"/>
      <c r="I1"/>
      <c r="J1"/>
    </row>
    <row r="2" spans="1:15" ht="18" customHeight="1" x14ac:dyDescent="0.35">
      <c r="A2" s="71" t="str">
        <f>System!A2</f>
        <v>System Size</v>
      </c>
      <c r="B2" s="71"/>
      <c r="C2"/>
      <c r="D2" s="26"/>
      <c r="E2" s="27"/>
      <c r="F2"/>
      <c r="G2"/>
      <c r="H2" s="16"/>
      <c r="I2" t="s">
        <v>9</v>
      </c>
      <c r="J2"/>
    </row>
    <row r="3" spans="1:15" ht="18" customHeight="1" x14ac:dyDescent="0.35">
      <c r="A3" s="62">
        <f>SystemSize/ModuleEfficiency</f>
        <v>274.34999999999997</v>
      </c>
      <c r="B3" s="13" t="s">
        <v>91</v>
      </c>
      <c r="C3"/>
      <c r="D3"/>
      <c r="E3"/>
      <c r="F3"/>
      <c r="G3"/>
      <c r="H3" s="17"/>
      <c r="I3" t="s">
        <v>10</v>
      </c>
      <c r="J3"/>
    </row>
    <row r="4" spans="1:15" ht="18" customHeight="1" x14ac:dyDescent="0.35">
      <c r="A4"/>
      <c r="B4"/>
      <c r="C4"/>
      <c r="D4"/>
      <c r="E4"/>
      <c r="F4"/>
      <c r="G4"/>
      <c r="H4" s="18"/>
      <c r="I4" t="s">
        <v>43</v>
      </c>
      <c r="J4"/>
    </row>
    <row r="5" spans="1:15" ht="18" customHeight="1" x14ac:dyDescent="0.35">
      <c r="A5" s="70" t="s">
        <v>299</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x14ac:dyDescent="0.35">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x14ac:dyDescent="0.35">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x14ac:dyDescent="0.35">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x14ac:dyDescent="0.35">
      <c r="A13" s="13" t="s">
        <v>154</v>
      </c>
      <c r="B13" s="6">
        <v>3500</v>
      </c>
      <c r="C13" s="28" t="s">
        <v>91</v>
      </c>
      <c r="D13" s="4">
        <v>8</v>
      </c>
      <c r="E13" s="30">
        <f>IncludeIndirect*1</f>
        <v>1</v>
      </c>
      <c r="F13" s="7">
        <f t="shared" si="0"/>
        <v>20.757426644796794</v>
      </c>
      <c r="G13" s="5"/>
      <c r="H13" s="12">
        <f t="shared" si="1"/>
        <v>20.757426644796794</v>
      </c>
      <c r="I13" s="37" t="s">
        <v>83</v>
      </c>
      <c r="J13" s="2" t="s">
        <v>300</v>
      </c>
    </row>
    <row r="14" spans="1:15" ht="18" customHeight="1" x14ac:dyDescent="0.35">
      <c r="A14" s="13" t="s">
        <v>155</v>
      </c>
      <c r="B14" s="6"/>
      <c r="C14" s="28" t="s">
        <v>91</v>
      </c>
      <c r="D14" s="4">
        <v>11</v>
      </c>
      <c r="E14" s="30">
        <f>IncludeIndirect*1</f>
        <v>1</v>
      </c>
      <c r="F14" s="7">
        <f t="shared" si="0"/>
        <v>11</v>
      </c>
      <c r="G14" s="5"/>
      <c r="H14" s="12">
        <f t="shared" si="1"/>
        <v>11</v>
      </c>
      <c r="I14" s="37" t="s">
        <v>83</v>
      </c>
      <c r="J14" s="2" t="s">
        <v>156</v>
      </c>
    </row>
    <row r="15" spans="1:15" ht="18" customHeight="1" x14ac:dyDescent="0.35">
      <c r="A15" s="13" t="s">
        <v>157</v>
      </c>
      <c r="B15" s="6">
        <v>10000</v>
      </c>
      <c r="C15" s="28"/>
      <c r="D15" s="4"/>
      <c r="E15" s="30"/>
      <c r="F15" s="7">
        <f t="shared" si="0"/>
        <v>36.449790413705124</v>
      </c>
      <c r="G15" s="4"/>
      <c r="H15" s="12">
        <f t="shared" si="1"/>
        <v>36.449790413705124</v>
      </c>
      <c r="I15" s="37" t="s">
        <v>83</v>
      </c>
      <c r="J15" s="2" t="s">
        <v>158</v>
      </c>
    </row>
    <row r="16" spans="1:15" ht="18" customHeight="1" x14ac:dyDescent="0.35">
      <c r="A16" s="13"/>
      <c r="B16" s="6"/>
      <c r="C16" s="28"/>
      <c r="D16" s="4"/>
      <c r="E16" s="30"/>
      <c r="F16" s="7">
        <f t="shared" si="0"/>
        <v>0</v>
      </c>
      <c r="G16" s="5"/>
      <c r="H16" s="12">
        <f t="shared" si="1"/>
        <v>0</v>
      </c>
      <c r="I16" s="37"/>
      <c r="J16" s="2"/>
    </row>
    <row r="17" spans="1:10" ht="18" customHeight="1" x14ac:dyDescent="0.35">
      <c r="A17" s="13"/>
      <c r="B17" s="6"/>
      <c r="C17" s="28"/>
      <c r="D17" s="4"/>
      <c r="E17" s="30"/>
      <c r="F17" s="7">
        <f t="shared" si="0"/>
        <v>0</v>
      </c>
      <c r="G17" s="5"/>
      <c r="H17" s="12">
        <f t="shared" si="1"/>
        <v>0</v>
      </c>
      <c r="I17" s="37"/>
      <c r="J17" s="2"/>
    </row>
    <row r="18" spans="1:10" ht="18" customHeight="1" x14ac:dyDescent="0.35">
      <c r="A18" s="13"/>
      <c r="B18" s="6"/>
      <c r="C18" s="28"/>
      <c r="D18" s="4"/>
      <c r="E18" s="30"/>
      <c r="F18" s="7">
        <f t="shared" si="0"/>
        <v>0</v>
      </c>
      <c r="G18" s="5"/>
      <c r="H18" s="12">
        <f t="shared" si="1"/>
        <v>0</v>
      </c>
      <c r="I18" s="37"/>
      <c r="J18" s="2"/>
    </row>
    <row r="19" spans="1:10" ht="18" customHeight="1" x14ac:dyDescent="0.35">
      <c r="A19" s="13"/>
      <c r="B19" s="6"/>
      <c r="C19" s="29"/>
      <c r="D19" s="4"/>
      <c r="E19" s="30"/>
      <c r="F19" s="7">
        <f t="shared" si="0"/>
        <v>0</v>
      </c>
      <c r="G19" s="5"/>
      <c r="H19" s="12">
        <f t="shared" si="1"/>
        <v>0</v>
      </c>
      <c r="I19" s="37"/>
      <c r="J19" s="2"/>
    </row>
    <row r="20" spans="1:10" ht="18" customHeight="1" x14ac:dyDescent="0.35">
      <c r="A20" s="13"/>
      <c r="B20" s="6"/>
      <c r="C20" s="24"/>
      <c r="D20" s="4"/>
      <c r="E20" s="30"/>
      <c r="F20" s="7">
        <f t="shared" si="0"/>
        <v>0</v>
      </c>
      <c r="G20" s="5"/>
      <c r="H20" s="12">
        <f t="shared" si="1"/>
        <v>0</v>
      </c>
      <c r="I20" s="37"/>
      <c r="J20" s="2"/>
    </row>
    <row r="21" spans="1:10" ht="18" customHeight="1" x14ac:dyDescent="0.35">
      <c r="A21" s="13"/>
      <c r="B21" s="6"/>
      <c r="C21" s="28"/>
      <c r="D21" s="4"/>
      <c r="E21" s="30"/>
      <c r="F21" s="7">
        <f t="shared" si="0"/>
        <v>0</v>
      </c>
      <c r="G21" s="5"/>
      <c r="H21" s="12">
        <f t="shared" si="1"/>
        <v>0</v>
      </c>
      <c r="I21" s="37"/>
      <c r="J21" s="2"/>
    </row>
    <row r="22" spans="1:10" x14ac:dyDescent="0.35">
      <c r="A22"/>
      <c r="B22"/>
      <c r="C22"/>
      <c r="D22"/>
      <c r="E22" s="15" t="s">
        <v>62</v>
      </c>
      <c r="F22" s="8">
        <f>SUM(F10:F21)</f>
        <v>116.74031705850192</v>
      </c>
      <c r="G22" s="15" t="s">
        <v>61</v>
      </c>
      <c r="H22" s="8">
        <f>SUM(H10:H21)</f>
        <v>120.72121705850194</v>
      </c>
      <c r="I22"/>
      <c r="J22"/>
    </row>
    <row r="23" spans="1:10" x14ac:dyDescent="0.35">
      <c r="F23" s="11"/>
    </row>
  </sheetData>
  <sheetProtection algorithmName="SHA-512" hashValue="uiFqqqmppcT7KH6aeV7ZxtETPQTACGF43ahqNW6bg8nrAvB2LpINHC3znz5xfhLiGNlJz4q5aaBziKqS5oH2ZQ==" saltValue="VgUp08ZBElOf/f4guschF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x14ac:dyDescent="0.35">
      <c r="A1" s="14" t="s">
        <v>41</v>
      </c>
      <c r="B1"/>
      <c r="C1"/>
      <c r="D1" s="25"/>
      <c r="E1"/>
      <c r="F1"/>
      <c r="G1"/>
      <c r="H1"/>
      <c r="I1"/>
      <c r="J1"/>
    </row>
    <row r="2" spans="1:15" ht="18" customHeight="1" x14ac:dyDescent="0.35">
      <c r="A2" s="71" t="str">
        <f>System!A2</f>
        <v>System Size</v>
      </c>
      <c r="B2" s="71"/>
      <c r="C2"/>
      <c r="D2" s="26"/>
      <c r="E2" s="27"/>
      <c r="F2"/>
      <c r="G2"/>
      <c r="H2" s="16"/>
      <c r="I2" t="s">
        <v>9</v>
      </c>
      <c r="J2"/>
    </row>
    <row r="3" spans="1:15" ht="18" customHeight="1" x14ac:dyDescent="0.35">
      <c r="A3" s="62">
        <f>SystemSize</f>
        <v>54.87</v>
      </c>
      <c r="B3" s="13" t="str">
        <f>SystemUnit</f>
        <v>kWdc</v>
      </c>
      <c r="C3"/>
      <c r="D3"/>
      <c r="E3"/>
      <c r="F3"/>
      <c r="G3"/>
      <c r="H3" s="17"/>
      <c r="I3" t="s">
        <v>10</v>
      </c>
      <c r="J3"/>
    </row>
    <row r="4" spans="1:15" ht="18" customHeight="1" x14ac:dyDescent="0.35">
      <c r="A4"/>
      <c r="B4"/>
      <c r="C4"/>
      <c r="D4"/>
      <c r="E4"/>
      <c r="F4"/>
      <c r="G4"/>
      <c r="H4" s="18"/>
      <c r="I4" t="s">
        <v>43</v>
      </c>
      <c r="J4"/>
    </row>
    <row r="5" spans="1:15" ht="18" customHeight="1" x14ac:dyDescent="0.35">
      <c r="A5" s="70" t="s">
        <v>301</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5">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x14ac:dyDescent="0.35">
      <c r="A11" s="13" t="s">
        <v>161</v>
      </c>
      <c r="B11" s="6"/>
      <c r="C11" s="28" t="s">
        <v>110</v>
      </c>
      <c r="D11" s="4">
        <v>0.4</v>
      </c>
      <c r="E11" s="30">
        <f>ModuleWeight/ModuleEfficiency</f>
        <v>57.5</v>
      </c>
      <c r="F11" s="7">
        <f t="shared" si="0"/>
        <v>23</v>
      </c>
      <c r="G11" s="5"/>
      <c r="H11" s="12">
        <f t="shared" si="1"/>
        <v>23</v>
      </c>
      <c r="I11" s="37"/>
      <c r="J11" s="2"/>
    </row>
    <row r="12" spans="1:15" ht="18" customHeight="1" x14ac:dyDescent="0.35">
      <c r="A12" s="13" t="s">
        <v>162</v>
      </c>
      <c r="B12" s="6">
        <v>70000</v>
      </c>
      <c r="C12" s="28" t="s">
        <v>91</v>
      </c>
      <c r="D12" s="4">
        <v>5</v>
      </c>
      <c r="E12" s="30">
        <f>1/ModuleEfficiency</f>
        <v>5</v>
      </c>
      <c r="F12" s="7">
        <f t="shared" si="0"/>
        <v>1300.7426644796792</v>
      </c>
      <c r="G12" s="5"/>
      <c r="H12" s="12">
        <f t="shared" si="1"/>
        <v>1300.7426644796792</v>
      </c>
      <c r="I12" s="37"/>
      <c r="J12" s="2" t="s">
        <v>302</v>
      </c>
    </row>
    <row r="13" spans="1:15" ht="18" customHeight="1" x14ac:dyDescent="0.35">
      <c r="A13" s="13" t="s">
        <v>163</v>
      </c>
      <c r="B13" s="6">
        <v>25000</v>
      </c>
      <c r="C13" s="28"/>
      <c r="D13" s="4"/>
      <c r="E13" s="30"/>
      <c r="F13" s="7">
        <f t="shared" si="0"/>
        <v>455.62238017131403</v>
      </c>
      <c r="G13" s="5"/>
      <c r="H13" s="12">
        <f t="shared" si="1"/>
        <v>455.62238017131403</v>
      </c>
      <c r="I13" s="37"/>
      <c r="J13" s="2" t="s">
        <v>164</v>
      </c>
    </row>
    <row r="14" spans="1:15" ht="18" customHeight="1" x14ac:dyDescent="0.35">
      <c r="A14" s="13" t="s">
        <v>303</v>
      </c>
      <c r="B14" s="6">
        <v>30000</v>
      </c>
      <c r="C14" s="28" t="s">
        <v>22</v>
      </c>
      <c r="D14" s="4">
        <v>60</v>
      </c>
      <c r="E14" s="30">
        <v>1</v>
      </c>
      <c r="F14" s="7">
        <f t="shared" si="0"/>
        <v>606.74685620557682</v>
      </c>
      <c r="G14" s="5"/>
      <c r="H14" s="12">
        <f t="shared" si="1"/>
        <v>606.74685620557682</v>
      </c>
      <c r="I14" s="37"/>
      <c r="J14" s="2" t="s">
        <v>304</v>
      </c>
    </row>
    <row r="15" spans="1:15" ht="18" customHeight="1" x14ac:dyDescent="0.35">
      <c r="A15" s="13"/>
      <c r="B15" s="6"/>
      <c r="C15" s="28"/>
      <c r="D15" s="4"/>
      <c r="E15" s="30"/>
      <c r="F15" s="7">
        <f t="shared" si="0"/>
        <v>0</v>
      </c>
      <c r="G15" s="4"/>
      <c r="H15" s="12">
        <f t="shared" si="1"/>
        <v>0</v>
      </c>
      <c r="I15" s="37"/>
      <c r="J15" s="2"/>
    </row>
    <row r="16" spans="1:15" ht="18" customHeight="1" x14ac:dyDescent="0.35">
      <c r="A16" s="13"/>
      <c r="B16" s="6"/>
      <c r="C16" s="28"/>
      <c r="D16" s="4"/>
      <c r="E16" s="30"/>
      <c r="F16" s="7">
        <f t="shared" si="0"/>
        <v>0</v>
      </c>
      <c r="G16" s="5"/>
      <c r="H16" s="12">
        <f t="shared" si="1"/>
        <v>0</v>
      </c>
      <c r="I16" s="37"/>
      <c r="J16" s="2"/>
    </row>
    <row r="17" spans="1:10" ht="18" customHeight="1" x14ac:dyDescent="0.35">
      <c r="A17" s="13"/>
      <c r="B17" s="6"/>
      <c r="C17" s="28"/>
      <c r="D17" s="4"/>
      <c r="E17" s="30"/>
      <c r="F17" s="7">
        <f t="shared" si="0"/>
        <v>0</v>
      </c>
      <c r="G17" s="5"/>
      <c r="H17" s="12">
        <f t="shared" si="1"/>
        <v>0</v>
      </c>
      <c r="I17" s="37"/>
      <c r="J17" s="2"/>
    </row>
    <row r="18" spans="1:10" ht="18" customHeight="1" x14ac:dyDescent="0.35">
      <c r="A18" s="13"/>
      <c r="B18" s="6"/>
      <c r="C18" s="29"/>
      <c r="D18" s="4"/>
      <c r="E18" s="30"/>
      <c r="F18" s="7">
        <f t="shared" si="0"/>
        <v>0</v>
      </c>
      <c r="G18" s="5"/>
      <c r="H18" s="12">
        <f t="shared" si="1"/>
        <v>0</v>
      </c>
      <c r="I18" s="37"/>
      <c r="J18" s="2"/>
    </row>
    <row r="19" spans="1:10" ht="18" customHeight="1" x14ac:dyDescent="0.35">
      <c r="A19" s="13"/>
      <c r="B19" s="6"/>
      <c r="C19" s="28"/>
      <c r="D19" s="4"/>
      <c r="E19" s="30"/>
      <c r="F19" s="7">
        <f t="shared" si="0"/>
        <v>0</v>
      </c>
      <c r="G19" s="5"/>
      <c r="H19" s="12">
        <f t="shared" si="1"/>
        <v>0</v>
      </c>
      <c r="I19" s="37"/>
      <c r="J19" s="2"/>
    </row>
    <row r="20" spans="1:10" ht="18" customHeight="1" x14ac:dyDescent="0.35">
      <c r="A20" s="13"/>
      <c r="B20" s="6"/>
      <c r="C20" s="29"/>
      <c r="D20" s="4"/>
      <c r="E20" s="30"/>
      <c r="F20" s="7">
        <f t="shared" si="0"/>
        <v>0</v>
      </c>
      <c r="G20" s="5"/>
      <c r="H20" s="12">
        <f t="shared" si="1"/>
        <v>0</v>
      </c>
      <c r="I20" s="37"/>
      <c r="J20" s="2"/>
    </row>
    <row r="21" spans="1:10" ht="18" customHeight="1" x14ac:dyDescent="0.35">
      <c r="A21" s="13"/>
      <c r="B21" s="6"/>
      <c r="C21" s="28"/>
      <c r="D21" s="4"/>
      <c r="E21" s="30"/>
      <c r="F21" s="7">
        <f t="shared" si="0"/>
        <v>0</v>
      </c>
      <c r="G21" s="5"/>
      <c r="H21" s="12">
        <f t="shared" si="1"/>
        <v>0</v>
      </c>
      <c r="I21" s="37"/>
      <c r="J21" s="2"/>
    </row>
    <row r="22" spans="1:10" x14ac:dyDescent="0.35">
      <c r="A22"/>
      <c r="B22"/>
      <c r="C22"/>
      <c r="D22"/>
      <c r="E22" s="15" t="s">
        <v>62</v>
      </c>
      <c r="F22" s="8">
        <f>SUM(F10:F21)</f>
        <v>2393.6119008565702</v>
      </c>
      <c r="G22" s="15" t="s">
        <v>61</v>
      </c>
      <c r="H22" s="8">
        <f>SUM(H10:H21)</f>
        <v>2401.1119008565702</v>
      </c>
      <c r="I22"/>
      <c r="J22"/>
    </row>
    <row r="23" spans="1:10" x14ac:dyDescent="0.35">
      <c r="F23" s="11"/>
    </row>
  </sheetData>
  <sheetProtection algorithmName="SHA-512" hashValue="4qhS19XawK/mGmlvFKMqgApu+L80ogE1q/O9SBsM0O5iuovgJBy//mzQ7FTl9Z3FDeMdClcayQbhYeUNKMvPEw==" saltValue="17KAYgesSdWbceKV46Srkw=="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x14ac:dyDescent="0.35">
      <c r="A1" s="14" t="s">
        <v>11</v>
      </c>
      <c r="B1"/>
      <c r="C1"/>
      <c r="D1" s="25"/>
      <c r="E1"/>
      <c r="F1"/>
      <c r="G1"/>
      <c r="H1"/>
      <c r="I1"/>
      <c r="J1"/>
    </row>
    <row r="2" spans="1:15" ht="18" customHeight="1" x14ac:dyDescent="0.35">
      <c r="A2" s="71" t="s">
        <v>12</v>
      </c>
      <c r="B2" s="71"/>
      <c r="C2"/>
      <c r="D2" s="26"/>
      <c r="E2" s="27"/>
      <c r="F2"/>
      <c r="G2"/>
      <c r="H2" s="16"/>
      <c r="I2" t="s">
        <v>9</v>
      </c>
      <c r="J2"/>
    </row>
    <row r="3" spans="1:15" ht="18" customHeight="1" x14ac:dyDescent="0.35">
      <c r="A3" s="9">
        <v>100000</v>
      </c>
      <c r="B3" s="17" t="s">
        <v>22</v>
      </c>
      <c r="C3"/>
      <c r="D3"/>
      <c r="E3"/>
      <c r="F3"/>
      <c r="G3"/>
      <c r="H3" s="17"/>
      <c r="I3" t="s">
        <v>10</v>
      </c>
      <c r="J3"/>
    </row>
    <row r="4" spans="1:15" ht="18" customHeight="1" x14ac:dyDescent="0.35">
      <c r="A4"/>
      <c r="B4"/>
      <c r="C4"/>
      <c r="D4"/>
      <c r="E4"/>
      <c r="F4"/>
      <c r="G4"/>
      <c r="H4" s="18"/>
      <c r="I4" t="s">
        <v>43</v>
      </c>
      <c r="J4"/>
    </row>
    <row r="5" spans="1:15" ht="18" customHeight="1" x14ac:dyDescent="0.35">
      <c r="A5" s="70" t="s">
        <v>165</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5">
      <c r="A10" s="13" t="s">
        <v>166</v>
      </c>
      <c r="B10" s="6"/>
      <c r="C10" s="28" t="s">
        <v>22</v>
      </c>
      <c r="D10" s="66">
        <f>(SysModuleMSP+SysInverterMSP+SysESSMSP+SysSBOSMSP+SysEBOSMSP)*SalesTaxRate</f>
        <v>34.998262631943518</v>
      </c>
      <c r="E10" s="30">
        <v>1</v>
      </c>
      <c r="F10" s="7">
        <f t="shared" ref="F10:F21" si="0">($B10/$A$3+$E10*$D10)*includerow($I10,IncludeESS,IncludeIndirect)</f>
        <v>34.998262631943518</v>
      </c>
      <c r="G10" s="67">
        <f>B10/$A$3+(SysModuleMMP+SysInverterMMP+SysESSMMP+SysSBOSMMP+SysEBOSMMP)*SalesTaxRate</f>
        <v>42.275307038712242</v>
      </c>
      <c r="H10" s="12">
        <f t="shared" ref="H10:H21" si="1">IF($G10&lt;&gt;0,$G10*$E10*includerow($I10,IncludeESS,IncludeIndirect),($B10/$A$3+$D10*$E10)*includerow($I10,IncludeESS,IncludeIndirect))</f>
        <v>42.275307038712242</v>
      </c>
      <c r="I10" s="37"/>
      <c r="J10" s="2" t="s">
        <v>167</v>
      </c>
    </row>
    <row r="11" spans="1:15" ht="18" customHeight="1" x14ac:dyDescent="0.35">
      <c r="A11" s="13" t="s">
        <v>168</v>
      </c>
      <c r="B11" s="6"/>
      <c r="C11" s="28" t="s">
        <v>22</v>
      </c>
      <c r="D11" s="66">
        <f>(SysModuleMSP+SysInverterMSP+SysESSMSP+SysSBOSMSP+SysEBOSMSP+SysFieldworkMSP+SysOfficeworkMSP)*ContingencyRate</f>
        <v>179.03659036947428</v>
      </c>
      <c r="E11" s="30">
        <v>1</v>
      </c>
      <c r="F11" s="7">
        <f t="shared" si="0"/>
        <v>179.03659036947428</v>
      </c>
      <c r="G11" s="67">
        <f>B11/$A$3+(SysModuleMMP+SysInverterMMP+SysESSMMP+SysSBOSMMP+SysEBOSMMP+SysFieldworkMMP+SysOfficeworkMMP)*ContingencyRate</f>
        <v>186.68012951324042</v>
      </c>
      <c r="H11" s="12">
        <f t="shared" si="1"/>
        <v>186.68012951324042</v>
      </c>
      <c r="I11" s="37"/>
      <c r="J11" s="2" t="s">
        <v>169</v>
      </c>
    </row>
    <row r="12" spans="1:15" ht="18" customHeight="1" x14ac:dyDescent="0.35">
      <c r="A12" s="13" t="s">
        <v>170</v>
      </c>
      <c r="B12" s="6">
        <v>1000000</v>
      </c>
      <c r="C12" s="28" t="s">
        <v>22</v>
      </c>
      <c r="D12" s="66">
        <f>(SysModuleMSP+SysInverterMSP+SysESSMSP+SysSBOSMSP+SysEBOSMSP+SysFieldworkMSP+SysOfficeworkMSP)*OverheadRate</f>
        <v>35.807318073894855</v>
      </c>
      <c r="E12" s="30">
        <v>1</v>
      </c>
      <c r="F12" s="7">
        <f t="shared" si="0"/>
        <v>45.807318073894855</v>
      </c>
      <c r="G12" s="67">
        <f>B12/$A$3+(SysModuleMMP+SysInverterMMP+SysESSMMP+SysSBOSMMP+SysEBOSMMP+SysFieldworkMMP+SysOfficeworkMMP)*OverheadRate</f>
        <v>47.336025902648082</v>
      </c>
      <c r="H12" s="12">
        <f t="shared" si="1"/>
        <v>47.336025902648082</v>
      </c>
      <c r="I12" s="37"/>
      <c r="J12" s="2" t="s">
        <v>171</v>
      </c>
    </row>
    <row r="13" spans="1:15" ht="18" customHeight="1" x14ac:dyDescent="0.35">
      <c r="A13" s="13" t="s">
        <v>107</v>
      </c>
      <c r="B13" s="6"/>
      <c r="C13" s="28" t="s">
        <v>22</v>
      </c>
      <c r="D13" s="66">
        <f>( SysModuleMSP+ SysInverterMSP+ SysESSMSP+ SysSBOSMSP+ SysEBOSMSP+ SysFieldworkMSP+ SysOfficeworkMSP+SUM(F10:F12))* DeveloperProfitMSP</f>
        <v>307.24591827718388</v>
      </c>
      <c r="E13" s="30">
        <v>1</v>
      </c>
      <c r="F13" s="7">
        <f t="shared" si="0"/>
        <v>307.24591827718388</v>
      </c>
      <c r="G13" s="67">
        <f>B13/$A$3+(SysModuleMMP+SysInverterMMP+SysESSMMP+SysSBOSMMP+SysEBOSMMP+SysFieldworkMMP+SysOfficeworkMMP+SUM(H10:H12))*DeveloperProfitMMP</f>
        <v>320.79152421755271</v>
      </c>
      <c r="H13" s="12">
        <f t="shared" si="1"/>
        <v>320.79152421755271</v>
      </c>
      <c r="I13" s="37"/>
      <c r="J13" s="2" t="s">
        <v>172</v>
      </c>
    </row>
    <row r="14" spans="1:15" ht="18" customHeight="1" x14ac:dyDescent="0.35">
      <c r="A14" s="13"/>
      <c r="B14" s="6"/>
      <c r="C14" s="28"/>
      <c r="D14" s="4"/>
      <c r="E14" s="30"/>
      <c r="F14" s="7">
        <f t="shared" si="0"/>
        <v>0</v>
      </c>
      <c r="G14" s="5"/>
      <c r="H14" s="12">
        <f t="shared" si="1"/>
        <v>0</v>
      </c>
      <c r="I14" s="37"/>
      <c r="J14" s="2"/>
    </row>
    <row r="15" spans="1:15" ht="18" customHeight="1" x14ac:dyDescent="0.35">
      <c r="A15" s="13"/>
      <c r="B15" s="6"/>
      <c r="C15" s="28"/>
      <c r="D15" s="4"/>
      <c r="E15" s="30"/>
      <c r="F15" s="7">
        <f t="shared" si="0"/>
        <v>0</v>
      </c>
      <c r="G15" s="5"/>
      <c r="H15" s="12">
        <f t="shared" si="1"/>
        <v>0</v>
      </c>
      <c r="I15" s="37"/>
      <c r="J15" s="2"/>
    </row>
    <row r="16" spans="1:15" ht="18" customHeight="1" x14ac:dyDescent="0.35">
      <c r="A16" s="13"/>
      <c r="B16" s="6"/>
      <c r="C16" s="28"/>
      <c r="D16" s="4"/>
      <c r="E16" s="30"/>
      <c r="F16" s="7">
        <f t="shared" si="0"/>
        <v>0</v>
      </c>
      <c r="G16" s="5"/>
      <c r="H16" s="12">
        <f t="shared" si="1"/>
        <v>0</v>
      </c>
      <c r="I16" s="37"/>
      <c r="J16" s="2"/>
    </row>
    <row r="17" spans="1:10" ht="18" customHeight="1" x14ac:dyDescent="0.35">
      <c r="A17" s="13"/>
      <c r="B17" s="6"/>
      <c r="C17" s="28"/>
      <c r="D17" s="4"/>
      <c r="E17" s="30"/>
      <c r="F17" s="7">
        <f t="shared" si="0"/>
        <v>0</v>
      </c>
      <c r="G17" s="5"/>
      <c r="H17" s="12">
        <f t="shared" si="1"/>
        <v>0</v>
      </c>
      <c r="I17" s="37"/>
      <c r="J17" s="2"/>
    </row>
    <row r="18" spans="1:10" ht="18" customHeight="1" x14ac:dyDescent="0.35">
      <c r="A18" s="13"/>
      <c r="B18" s="6"/>
      <c r="C18" s="28"/>
      <c r="D18" s="4"/>
      <c r="E18" s="30"/>
      <c r="F18" s="7">
        <f t="shared" si="0"/>
        <v>0</v>
      </c>
      <c r="G18" s="5"/>
      <c r="H18" s="12">
        <f t="shared" si="1"/>
        <v>0</v>
      </c>
      <c r="I18" s="37"/>
      <c r="J18" s="2"/>
    </row>
    <row r="19" spans="1:10" ht="18" customHeight="1" x14ac:dyDescent="0.35">
      <c r="A19" s="13"/>
      <c r="B19" s="6"/>
      <c r="C19" s="28"/>
      <c r="D19" s="4"/>
      <c r="E19" s="30"/>
      <c r="F19" s="7">
        <f t="shared" si="0"/>
        <v>0</v>
      </c>
      <c r="G19" s="5"/>
      <c r="H19" s="12">
        <f t="shared" si="1"/>
        <v>0</v>
      </c>
      <c r="I19" s="37"/>
      <c r="J19" s="2"/>
    </row>
    <row r="20" spans="1:10" ht="18" customHeight="1" x14ac:dyDescent="0.35">
      <c r="A20" s="13"/>
      <c r="B20" s="6"/>
      <c r="C20" s="28"/>
      <c r="D20" s="4"/>
      <c r="E20" s="30"/>
      <c r="F20" s="7">
        <f t="shared" si="0"/>
        <v>0</v>
      </c>
      <c r="G20" s="5"/>
      <c r="H20" s="12">
        <f t="shared" si="1"/>
        <v>0</v>
      </c>
      <c r="I20" s="37"/>
      <c r="J20" s="2"/>
    </row>
    <row r="21" spans="1:10" ht="18" customHeight="1" x14ac:dyDescent="0.35">
      <c r="A21" s="13"/>
      <c r="B21" s="6"/>
      <c r="C21" s="28"/>
      <c r="D21" s="4"/>
      <c r="E21" s="30"/>
      <c r="F21" s="7">
        <f t="shared" si="0"/>
        <v>0</v>
      </c>
      <c r="G21" s="5"/>
      <c r="H21" s="12">
        <f t="shared" si="1"/>
        <v>0</v>
      </c>
      <c r="I21" s="37"/>
      <c r="J21" s="2"/>
    </row>
    <row r="22" spans="1:10" x14ac:dyDescent="0.35">
      <c r="A22"/>
      <c r="B22"/>
      <c r="C22"/>
      <c r="D22"/>
      <c r="E22" s="15" t="s">
        <v>62</v>
      </c>
      <c r="F22" s="8">
        <f>SUM(F10:F21)</f>
        <v>567.08808935249658</v>
      </c>
      <c r="G22" s="15" t="s">
        <v>61</v>
      </c>
      <c r="H22" s="8">
        <f>SUM(H10:H21)</f>
        <v>597.08298667215342</v>
      </c>
      <c r="I22"/>
      <c r="J22"/>
    </row>
    <row r="23" spans="1:10" x14ac:dyDescent="0.35">
      <c r="F23" s="11"/>
    </row>
    <row r="24" spans="1:10" x14ac:dyDescent="0.35">
      <c r="A24"/>
      <c r="B24"/>
      <c r="C24"/>
      <c r="D24"/>
      <c r="E24"/>
      <c r="F24"/>
    </row>
    <row r="25" spans="1:10" x14ac:dyDescent="0.35">
      <c r="A25"/>
      <c r="B25"/>
      <c r="C25"/>
      <c r="D25"/>
      <c r="E25"/>
      <c r="F25"/>
    </row>
    <row r="26" spans="1:10" x14ac:dyDescent="0.35">
      <c r="A26"/>
      <c r="B26"/>
      <c r="C26"/>
      <c r="D26"/>
      <c r="E26"/>
      <c r="F26"/>
    </row>
    <row r="27" spans="1:10" x14ac:dyDescent="0.35">
      <c r="A27"/>
      <c r="B27"/>
      <c r="C27"/>
      <c r="D27"/>
      <c r="E27"/>
      <c r="F27"/>
    </row>
    <row r="28" spans="1:10" x14ac:dyDescent="0.35">
      <c r="A28"/>
      <c r="B28"/>
      <c r="C28"/>
      <c r="D28"/>
      <c r="E28"/>
      <c r="F28"/>
    </row>
    <row r="29" spans="1:10" x14ac:dyDescent="0.35">
      <c r="A29"/>
      <c r="B29"/>
      <c r="C29"/>
      <c r="D29"/>
      <c r="E29"/>
      <c r="F29"/>
    </row>
    <row r="30" spans="1:10" x14ac:dyDescent="0.35">
      <c r="A30"/>
      <c r="B30"/>
      <c r="C30"/>
      <c r="D30"/>
      <c r="E30"/>
      <c r="F30"/>
    </row>
    <row r="31" spans="1:10" x14ac:dyDescent="0.35">
      <c r="A31"/>
      <c r="B31"/>
      <c r="C31"/>
      <c r="D31"/>
      <c r="E31"/>
      <c r="F31"/>
    </row>
    <row r="32" spans="1:10" x14ac:dyDescent="0.35">
      <c r="A32"/>
      <c r="B32"/>
      <c r="C32"/>
      <c r="D32"/>
      <c r="E32"/>
      <c r="F32"/>
    </row>
    <row r="33" spans="1:6" x14ac:dyDescent="0.35">
      <c r="A33"/>
      <c r="B33"/>
      <c r="C33"/>
      <c r="D33"/>
      <c r="E33"/>
      <c r="F33"/>
    </row>
    <row r="34" spans="1:6" x14ac:dyDescent="0.35">
      <c r="A34"/>
      <c r="B34"/>
      <c r="C34"/>
      <c r="D34"/>
      <c r="E34"/>
      <c r="F34"/>
    </row>
    <row r="35" spans="1:6" x14ac:dyDescent="0.35">
      <c r="A35"/>
      <c r="B35"/>
      <c r="C35"/>
      <c r="D35"/>
      <c r="E35"/>
      <c r="F35"/>
    </row>
    <row r="36" spans="1:6" x14ac:dyDescent="0.35">
      <c r="A36"/>
      <c r="B36"/>
      <c r="C36"/>
      <c r="D36"/>
      <c r="E36"/>
      <c r="F36"/>
    </row>
    <row r="37" spans="1:6" x14ac:dyDescent="0.35">
      <c r="A37"/>
      <c r="B37"/>
      <c r="C37"/>
      <c r="D37"/>
      <c r="E37"/>
      <c r="F37"/>
    </row>
  </sheetData>
  <sheetProtection algorithmName="SHA-512" hashValue="MQKxcsJzZ0vyzWwAU6He1xNqyDqt1k9Ma50WiTA3RDyaYbgTRZdaLgpU7prDSTz3cSKFGysvfXTu9wjXPNmLVA==" saltValue="hD2AkodWH276+kKn5dGrwg=="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x14ac:dyDescent="0.3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x14ac:dyDescent="0.35">
      <c r="A1" s="14" t="s">
        <v>18</v>
      </c>
      <c r="B1" s="35" t="s">
        <v>32</v>
      </c>
      <c r="C1" s="33"/>
      <c r="D1" s="25"/>
      <c r="E1"/>
      <c r="F1"/>
      <c r="G1"/>
      <c r="H1"/>
      <c r="I1"/>
      <c r="J1"/>
    </row>
    <row r="2" spans="1:15" ht="18" customHeight="1" x14ac:dyDescent="0.35">
      <c r="A2" s="71" t="s">
        <v>6</v>
      </c>
      <c r="B2" s="71"/>
      <c r="C2"/>
      <c r="D2" s="26"/>
      <c r="E2" s="27"/>
      <c r="F2"/>
      <c r="G2"/>
      <c r="H2" s="16"/>
      <c r="I2" t="s">
        <v>9</v>
      </c>
      <c r="J2"/>
    </row>
    <row r="3" spans="1:15" ht="18" customHeight="1" x14ac:dyDescent="0.35">
      <c r="A3" s="62">
        <f>SystemSize</f>
        <v>54.87</v>
      </c>
      <c r="B3" s="17" t="s">
        <v>22</v>
      </c>
      <c r="C3"/>
      <c r="D3"/>
      <c r="E3"/>
      <c r="F3"/>
      <c r="G3"/>
      <c r="H3" s="17"/>
      <c r="I3" t="s">
        <v>10</v>
      </c>
      <c r="J3"/>
    </row>
    <row r="4" spans="1:15" ht="18" customHeight="1" x14ac:dyDescent="0.35">
      <c r="A4"/>
      <c r="B4"/>
      <c r="C4"/>
      <c r="D4"/>
      <c r="E4"/>
      <c r="F4"/>
      <c r="G4"/>
      <c r="H4" s="18"/>
      <c r="I4" t="s">
        <v>43</v>
      </c>
      <c r="J4"/>
    </row>
    <row r="5" spans="1:15" ht="18" customHeight="1" x14ac:dyDescent="0.35">
      <c r="A5" s="70" t="s">
        <v>173</v>
      </c>
      <c r="B5" s="72"/>
      <c r="C5" s="72"/>
      <c r="D5" s="72"/>
      <c r="E5" s="72"/>
      <c r="F5" s="72"/>
      <c r="G5"/>
      <c r="H5" s="19"/>
      <c r="I5" t="s">
        <v>8</v>
      </c>
      <c r="J5"/>
    </row>
    <row r="6" spans="1:15" ht="18" customHeight="1" x14ac:dyDescent="0.35">
      <c r="A6" s="72"/>
      <c r="B6" s="72"/>
      <c r="C6" s="72"/>
      <c r="D6" s="72"/>
      <c r="E6" s="72"/>
      <c r="F6" s="72"/>
      <c r="G6"/>
      <c r="H6"/>
      <c r="I6"/>
      <c r="J6"/>
    </row>
    <row r="7" spans="1:15" ht="18" customHeight="1" x14ac:dyDescent="0.35">
      <c r="A7" s="72"/>
      <c r="B7" s="72"/>
      <c r="C7" s="72"/>
      <c r="D7" s="72"/>
      <c r="E7" s="72"/>
      <c r="F7" s="72"/>
      <c r="G7"/>
      <c r="H7"/>
      <c r="I7"/>
      <c r="J7"/>
    </row>
    <row r="8" spans="1:15" ht="18" customHeight="1" x14ac:dyDescent="0.35">
      <c r="A8" s="20"/>
      <c r="B8"/>
      <c r="C8"/>
      <c r="D8"/>
      <c r="E8"/>
      <c r="F8"/>
      <c r="G8"/>
      <c r="H8"/>
      <c r="I8"/>
      <c r="J8"/>
    </row>
    <row r="9" spans="1:15" s="3" customFormat="1" ht="29.75" customHeight="1" x14ac:dyDescent="0.35">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x14ac:dyDescent="0.35">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x14ac:dyDescent="0.35">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x14ac:dyDescent="0.35">
      <c r="A12" s="13" t="s">
        <v>177</v>
      </c>
      <c r="B12" s="6"/>
      <c r="C12" s="28" t="s">
        <v>91</v>
      </c>
      <c r="D12" s="66">
        <f>SysSBOSMSP</f>
        <v>141.78989437683327</v>
      </c>
      <c r="E12" s="30">
        <f>PartsLossRate/ModuleEfficiency</f>
        <v>0.01</v>
      </c>
      <c r="F12" s="7">
        <f t="shared" si="0"/>
        <v>1.4178989437683327</v>
      </c>
      <c r="G12" s="5"/>
      <c r="H12" s="12">
        <f t="shared" si="1"/>
        <v>1.4178989437683327</v>
      </c>
      <c r="I12" s="37"/>
      <c r="J12" s="2" t="s">
        <v>178</v>
      </c>
    </row>
    <row r="13" spans="1:15" ht="18" customHeight="1" x14ac:dyDescent="0.35">
      <c r="A13" s="13" t="s">
        <v>179</v>
      </c>
      <c r="B13" s="6"/>
      <c r="C13" s="28" t="s">
        <v>22</v>
      </c>
      <c r="D13" s="66">
        <f>SysModuleMSP</f>
        <v>232.28546335992257</v>
      </c>
      <c r="E13" s="30">
        <f>ModuleLossRate</f>
        <v>1E-3</v>
      </c>
      <c r="F13" s="7">
        <f t="shared" si="0"/>
        <v>0.23228546335992259</v>
      </c>
      <c r="G13" s="5"/>
      <c r="H13" s="12">
        <f t="shared" si="1"/>
        <v>0.23228546335992259</v>
      </c>
      <c r="I13" s="37"/>
      <c r="J13" s="2" t="s">
        <v>180</v>
      </c>
    </row>
    <row r="14" spans="1:15" ht="18" customHeight="1" x14ac:dyDescent="0.35">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x14ac:dyDescent="0.35">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x14ac:dyDescent="0.35">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x14ac:dyDescent="0.35">
      <c r="A17" s="13" t="s">
        <v>187</v>
      </c>
      <c r="B17" s="6"/>
      <c r="C17" s="28" t="s">
        <v>188</v>
      </c>
      <c r="D17" s="66">
        <f>SystemMSP*PropertyTaxRate</f>
        <v>8.2956397934839643</v>
      </c>
      <c r="E17" s="30">
        <f>IncludeIndirect*1</f>
        <v>1</v>
      </c>
      <c r="F17" s="7">
        <f t="shared" si="0"/>
        <v>8.2956397934839643</v>
      </c>
      <c r="G17" s="4"/>
      <c r="H17" s="12">
        <f t="shared" si="1"/>
        <v>8.2956397934839643</v>
      </c>
      <c r="I17" s="37" t="s">
        <v>83</v>
      </c>
      <c r="J17" s="2" t="s">
        <v>189</v>
      </c>
    </row>
    <row r="18" spans="1:10" ht="18" customHeight="1" x14ac:dyDescent="0.35">
      <c r="A18" s="13" t="s">
        <v>190</v>
      </c>
      <c r="B18" s="6"/>
      <c r="C18" s="29" t="s">
        <v>188</v>
      </c>
      <c r="D18" s="66">
        <f>SystemMSP*InsuranceRate</f>
        <v>10.369549741854955</v>
      </c>
      <c r="E18" s="30">
        <f>IncludeIndirect*1</f>
        <v>1</v>
      </c>
      <c r="F18" s="7">
        <f t="shared" si="0"/>
        <v>10.369549741854955</v>
      </c>
      <c r="G18" s="4"/>
      <c r="H18" s="12">
        <f t="shared" si="1"/>
        <v>10.369549741854955</v>
      </c>
      <c r="I18" s="37" t="s">
        <v>83</v>
      </c>
      <c r="J18" s="2" t="s">
        <v>305</v>
      </c>
    </row>
    <row r="19" spans="1:10" ht="18" customHeight="1" x14ac:dyDescent="0.35">
      <c r="A19" s="13" t="s">
        <v>170</v>
      </c>
      <c r="B19" s="6">
        <v>8853.3033333333296</v>
      </c>
      <c r="C19" s="29"/>
      <c r="D19" s="4"/>
      <c r="E19" s="30"/>
      <c r="F19" s="7">
        <f t="shared" si="0"/>
        <v>161.3505254844784</v>
      </c>
      <c r="G19" s="4"/>
      <c r="H19" s="12">
        <f t="shared" si="1"/>
        <v>161.3505254844784</v>
      </c>
      <c r="I19" s="37" t="s">
        <v>83</v>
      </c>
      <c r="J19" s="2" t="s">
        <v>306</v>
      </c>
    </row>
    <row r="20" spans="1:10" ht="18" customHeight="1" x14ac:dyDescent="0.35">
      <c r="A20" s="13"/>
      <c r="B20" s="6"/>
      <c r="C20" s="29"/>
      <c r="D20" s="4"/>
      <c r="E20" s="30"/>
      <c r="F20" s="7">
        <f t="shared" si="0"/>
        <v>0</v>
      </c>
      <c r="G20" s="4"/>
      <c r="H20" s="12">
        <f t="shared" si="1"/>
        <v>0</v>
      </c>
      <c r="I20" s="37"/>
      <c r="J20" s="2"/>
    </row>
    <row r="21" spans="1:10" ht="18" customHeight="1" x14ac:dyDescent="0.35">
      <c r="A21" s="13"/>
      <c r="B21" s="6"/>
      <c r="C21" s="29"/>
      <c r="D21" s="4"/>
      <c r="E21" s="30"/>
      <c r="F21" s="7">
        <f t="shared" si="0"/>
        <v>0</v>
      </c>
      <c r="G21" s="4"/>
      <c r="H21" s="12">
        <f t="shared" si="1"/>
        <v>0</v>
      </c>
      <c r="I21" s="37"/>
      <c r="J21" s="2"/>
    </row>
    <row r="22" spans="1:10" x14ac:dyDescent="0.35">
      <c r="A22"/>
      <c r="B22"/>
      <c r="C22"/>
      <c r="D22"/>
      <c r="E22" s="15" t="s">
        <v>62</v>
      </c>
      <c r="F22" s="8">
        <f>SUM(F10:F21)</f>
        <v>192.89195511096355</v>
      </c>
      <c r="G22" s="15" t="s">
        <v>61</v>
      </c>
      <c r="H22" s="8">
        <f>SUM(H10:H21)</f>
        <v>192.89195511096355</v>
      </c>
      <c r="I22"/>
      <c r="J22"/>
    </row>
    <row r="23" spans="1:10" x14ac:dyDescent="0.35">
      <c r="F23" s="11"/>
    </row>
  </sheetData>
  <sheetProtection algorithmName="SHA-512" hashValue="tKL1k4Y0uKfNjcDvBUoKkg1SSoSm3gHaGvXZDHEQwrxpAgYKeq2+iI5zTvGt3dvlGjCPu5BIht52DoDHlHkx1A==" saltValue="tP5Tz5/vZ9PFTDFeuLx6I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x14ac:dyDescent="0.3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x14ac:dyDescent="0.35">
      <c r="A1" s="14" t="s">
        <v>14</v>
      </c>
      <c r="B1" s="36" t="s">
        <v>21</v>
      </c>
      <c r="C1" s="36"/>
      <c r="D1"/>
      <c r="E1"/>
      <c r="F1" s="60" t="s">
        <v>75</v>
      </c>
      <c r="G1"/>
      <c r="H1" s="36" t="s">
        <v>54</v>
      </c>
    </row>
    <row r="2" spans="1:8" x14ac:dyDescent="0.35">
      <c r="A2" s="36" t="s">
        <v>53</v>
      </c>
      <c r="B2"/>
      <c r="C2"/>
      <c r="D2"/>
      <c r="E2"/>
      <c r="F2" s="54" t="b">
        <v>1</v>
      </c>
      <c r="G2"/>
      <c r="H2"/>
    </row>
    <row r="3" spans="1:8" x14ac:dyDescent="0.35">
      <c r="A3" s="55" t="s">
        <v>38</v>
      </c>
      <c r="B3" s="56" t="s">
        <v>39</v>
      </c>
      <c r="C3" s="57" t="s">
        <v>63</v>
      </c>
      <c r="D3" s="73" t="s">
        <v>64</v>
      </c>
      <c r="E3" s="73"/>
      <c r="F3" s="74"/>
      <c r="G3" t="s">
        <v>65</v>
      </c>
      <c r="H3" t="s">
        <v>15</v>
      </c>
    </row>
    <row r="4" spans="1:8" x14ac:dyDescent="0.35">
      <c r="A4" s="13" t="s">
        <v>7</v>
      </c>
      <c r="B4" s="13" t="s">
        <v>191</v>
      </c>
      <c r="C4" s="2">
        <v>1.37</v>
      </c>
      <c r="D4" s="37" t="s">
        <v>193</v>
      </c>
      <c r="E4" s="59" t="str">
        <f>IF(A4&lt;&gt;"","/","")</f>
        <v>/</v>
      </c>
      <c r="F4" s="37" t="s">
        <v>192</v>
      </c>
      <c r="G4" s="58"/>
      <c r="H4" s="2" t="s">
        <v>307</v>
      </c>
    </row>
    <row r="5" spans="1:8" x14ac:dyDescent="0.35">
      <c r="A5" s="13" t="s">
        <v>7</v>
      </c>
      <c r="B5" s="13" t="s">
        <v>194</v>
      </c>
      <c r="C5" s="2">
        <v>2</v>
      </c>
      <c r="D5" s="37" t="s">
        <v>73</v>
      </c>
      <c r="E5" s="59" t="str">
        <f t="shared" ref="E5:E16" si="0">IF(A5&lt;&gt;"","/","")</f>
        <v>/</v>
      </c>
      <c r="F5" s="37" t="s">
        <v>193</v>
      </c>
      <c r="G5" s="58"/>
      <c r="H5" s="2" t="s">
        <v>308</v>
      </c>
    </row>
    <row r="6" spans="1:8" x14ac:dyDescent="0.35">
      <c r="A6" s="13" t="s">
        <v>7</v>
      </c>
      <c r="B6" s="13" t="s">
        <v>195</v>
      </c>
      <c r="C6" s="2">
        <v>0.14249999999999999</v>
      </c>
      <c r="D6" s="37" t="s">
        <v>197</v>
      </c>
      <c r="E6" s="59" t="str">
        <f t="shared" si="0"/>
        <v>/</v>
      </c>
      <c r="F6" s="37" t="s">
        <v>196</v>
      </c>
      <c r="G6" s="58"/>
      <c r="H6" s="2"/>
    </row>
    <row r="7" spans="1:8" x14ac:dyDescent="0.35">
      <c r="A7" s="13" t="s">
        <v>7</v>
      </c>
      <c r="B7" s="13" t="s">
        <v>198</v>
      </c>
      <c r="C7" s="2">
        <v>0.25</v>
      </c>
      <c r="D7" s="37" t="s">
        <v>197</v>
      </c>
      <c r="E7" s="59" t="str">
        <f t="shared" si="0"/>
        <v>/</v>
      </c>
      <c r="F7" s="37" t="s">
        <v>196</v>
      </c>
      <c r="G7" s="58"/>
      <c r="H7" s="2"/>
    </row>
    <row r="8" spans="1:8" x14ac:dyDescent="0.35">
      <c r="A8" s="13" t="s">
        <v>7</v>
      </c>
      <c r="B8" s="13" t="s">
        <v>199</v>
      </c>
      <c r="C8" s="2">
        <v>0.5</v>
      </c>
      <c r="D8" s="37" t="s">
        <v>197</v>
      </c>
      <c r="E8" s="59" t="str">
        <f t="shared" si="0"/>
        <v>/</v>
      </c>
      <c r="F8" s="37" t="s">
        <v>196</v>
      </c>
      <c r="G8" s="58"/>
      <c r="H8" s="2"/>
    </row>
    <row r="9" spans="1:8" x14ac:dyDescent="0.35">
      <c r="A9" s="13" t="s">
        <v>1</v>
      </c>
      <c r="B9" s="13" t="s">
        <v>200</v>
      </c>
      <c r="C9" s="2">
        <v>0.2</v>
      </c>
      <c r="D9" s="37" t="s">
        <v>193</v>
      </c>
      <c r="E9" s="59" t="str">
        <f t="shared" si="0"/>
        <v>/</v>
      </c>
      <c r="F9" s="37" t="s">
        <v>201</v>
      </c>
      <c r="G9" s="58"/>
      <c r="H9" s="2"/>
    </row>
    <row r="10" spans="1:8" x14ac:dyDescent="0.35">
      <c r="A10" s="13" t="s">
        <v>1</v>
      </c>
      <c r="B10" s="13" t="s">
        <v>202</v>
      </c>
      <c r="C10" s="2">
        <v>4.3529999999999998</v>
      </c>
      <c r="D10" s="37" t="s">
        <v>89</v>
      </c>
      <c r="E10" s="59" t="str">
        <f t="shared" si="0"/>
        <v>/</v>
      </c>
      <c r="F10" s="37"/>
      <c r="G10" s="58"/>
      <c r="H10" s="2"/>
    </row>
    <row r="11" spans="1:8" x14ac:dyDescent="0.35">
      <c r="A11" s="13" t="s">
        <v>1</v>
      </c>
      <c r="B11" s="13" t="s">
        <v>203</v>
      </c>
      <c r="C11" s="2">
        <v>1.601</v>
      </c>
      <c r="D11" s="37" t="s">
        <v>89</v>
      </c>
      <c r="E11" s="59" t="str">
        <f t="shared" si="0"/>
        <v>/</v>
      </c>
      <c r="F11" s="37"/>
      <c r="G11" s="58"/>
      <c r="H11" s="2"/>
    </row>
    <row r="12" spans="1:8" x14ac:dyDescent="0.35">
      <c r="A12" s="13" t="s">
        <v>1</v>
      </c>
      <c r="B12" s="13" t="s">
        <v>204</v>
      </c>
      <c r="C12" s="2">
        <v>11.5</v>
      </c>
      <c r="D12" s="37" t="s">
        <v>205</v>
      </c>
      <c r="E12" s="59" t="str">
        <f t="shared" si="0"/>
        <v>/</v>
      </c>
      <c r="F12" s="37" t="s">
        <v>201</v>
      </c>
      <c r="G12" s="58"/>
      <c r="H12" s="2"/>
    </row>
    <row r="13" spans="1:8" x14ac:dyDescent="0.35">
      <c r="A13" s="13" t="s">
        <v>1</v>
      </c>
      <c r="B13" s="13" t="s">
        <v>206</v>
      </c>
      <c r="C13" s="2">
        <v>0.98</v>
      </c>
      <c r="D13" s="37" t="s">
        <v>193</v>
      </c>
      <c r="E13" s="59" t="str">
        <f t="shared" si="0"/>
        <v>/</v>
      </c>
      <c r="F13" s="37" t="s">
        <v>207</v>
      </c>
      <c r="G13" s="58"/>
      <c r="H13" s="2"/>
    </row>
    <row r="14" spans="1:8" x14ac:dyDescent="0.35">
      <c r="A14" s="13" t="s">
        <v>1</v>
      </c>
      <c r="B14" s="13" t="s">
        <v>208</v>
      </c>
      <c r="C14" s="2">
        <v>0.109</v>
      </c>
      <c r="D14" s="38" t="s">
        <v>209</v>
      </c>
      <c r="E14" s="59" t="str">
        <f t="shared" si="0"/>
        <v>/</v>
      </c>
      <c r="F14" s="38" t="s">
        <v>201</v>
      </c>
      <c r="G14" s="58"/>
      <c r="H14" s="2"/>
    </row>
    <row r="15" spans="1:8" x14ac:dyDescent="0.35">
      <c r="A15" s="13" t="s">
        <v>1</v>
      </c>
      <c r="B15" s="13" t="s">
        <v>210</v>
      </c>
      <c r="C15" s="2">
        <v>5.79</v>
      </c>
      <c r="D15" s="37" t="s">
        <v>211</v>
      </c>
      <c r="E15" s="59" t="str">
        <f t="shared" si="0"/>
        <v>/</v>
      </c>
      <c r="F15" s="37" t="s">
        <v>201</v>
      </c>
      <c r="G15" s="58"/>
      <c r="H15" s="2"/>
    </row>
    <row r="16" spans="1:8" x14ac:dyDescent="0.35">
      <c r="A16" s="13" t="s">
        <v>1</v>
      </c>
      <c r="B16" s="13" t="s">
        <v>212</v>
      </c>
      <c r="C16" s="2">
        <v>0.11799999999999999</v>
      </c>
      <c r="D16" s="37" t="s">
        <v>214</v>
      </c>
      <c r="E16" s="59" t="str">
        <f t="shared" si="0"/>
        <v>/</v>
      </c>
      <c r="F16" s="37" t="s">
        <v>213</v>
      </c>
      <c r="G16" s="58"/>
      <c r="H16" s="2" t="s">
        <v>215</v>
      </c>
    </row>
    <row r="17" spans="1:8" x14ac:dyDescent="0.35">
      <c r="A17" s="13" t="s">
        <v>1</v>
      </c>
      <c r="B17" s="13" t="s">
        <v>216</v>
      </c>
      <c r="C17" s="2">
        <v>0.15</v>
      </c>
      <c r="D17" s="37" t="s">
        <v>217</v>
      </c>
      <c r="E17" s="59" t="str">
        <f t="shared" ref="E17:E80" si="1">IF(A17&lt;&gt;"","/","")</f>
        <v>/</v>
      </c>
      <c r="F17" s="37" t="s">
        <v>196</v>
      </c>
      <c r="G17" s="58"/>
      <c r="H17" s="2" t="s">
        <v>309</v>
      </c>
    </row>
    <row r="18" spans="1:8" x14ac:dyDescent="0.35">
      <c r="A18" s="13" t="s">
        <v>1</v>
      </c>
      <c r="B18" s="13" t="s">
        <v>218</v>
      </c>
      <c r="C18" s="2">
        <v>336</v>
      </c>
      <c r="D18" s="37" t="s">
        <v>219</v>
      </c>
      <c r="E18" s="59" t="str">
        <f t="shared" ref="E18:E60" si="2">IF(A18&lt;&gt;"","/","")</f>
        <v>/</v>
      </c>
      <c r="F18" s="37" t="s">
        <v>22</v>
      </c>
      <c r="G18" s="58"/>
      <c r="H18" s="2" t="s">
        <v>310</v>
      </c>
    </row>
    <row r="19" spans="1:8" x14ac:dyDescent="0.35">
      <c r="A19" s="13" t="s">
        <v>2</v>
      </c>
      <c r="B19" s="13" t="s">
        <v>220</v>
      </c>
      <c r="C19" s="2">
        <v>0.78900000000000003</v>
      </c>
      <c r="D19" s="37" t="s">
        <v>221</v>
      </c>
      <c r="E19" s="59" t="str">
        <f t="shared" si="2"/>
        <v>/</v>
      </c>
      <c r="F19" s="37" t="s">
        <v>192</v>
      </c>
      <c r="G19" s="58"/>
      <c r="H19" s="2"/>
    </row>
    <row r="20" spans="1:8" x14ac:dyDescent="0.35">
      <c r="A20" s="13" t="s">
        <v>2</v>
      </c>
      <c r="B20" s="13" t="s">
        <v>222</v>
      </c>
      <c r="C20" s="2">
        <v>4.4999999999999998E-2</v>
      </c>
      <c r="D20" s="37" t="s">
        <v>209</v>
      </c>
      <c r="E20" s="59" t="str">
        <f t="shared" si="2"/>
        <v>/</v>
      </c>
      <c r="F20" s="37" t="s">
        <v>192</v>
      </c>
      <c r="G20" s="58"/>
      <c r="H20" s="2"/>
    </row>
    <row r="21" spans="1:8" x14ac:dyDescent="0.35">
      <c r="A21" s="13" t="s">
        <v>2</v>
      </c>
      <c r="B21" s="13" t="s">
        <v>223</v>
      </c>
      <c r="C21" s="2">
        <v>8.42</v>
      </c>
      <c r="D21" s="37" t="s">
        <v>211</v>
      </c>
      <c r="E21" s="59" t="str">
        <f t="shared" si="2"/>
        <v>/</v>
      </c>
      <c r="F21" s="37" t="s">
        <v>192</v>
      </c>
      <c r="G21" s="58"/>
      <c r="H21" s="2"/>
    </row>
    <row r="22" spans="1:8" x14ac:dyDescent="0.35">
      <c r="A22" s="13" t="s">
        <v>2</v>
      </c>
      <c r="B22" s="13" t="s">
        <v>224</v>
      </c>
      <c r="C22" s="2">
        <v>0.125</v>
      </c>
      <c r="D22" s="37" t="s">
        <v>214</v>
      </c>
      <c r="E22" s="59" t="str">
        <f t="shared" si="2"/>
        <v>/</v>
      </c>
      <c r="F22" s="37" t="s">
        <v>213</v>
      </c>
      <c r="G22" s="58"/>
      <c r="H22" s="2" t="s">
        <v>225</v>
      </c>
    </row>
    <row r="23" spans="1:8" x14ac:dyDescent="0.35">
      <c r="A23" s="13" t="s">
        <v>2</v>
      </c>
      <c r="B23" s="13" t="s">
        <v>226</v>
      </c>
      <c r="C23" s="2">
        <v>0.15</v>
      </c>
      <c r="D23" s="37" t="s">
        <v>217</v>
      </c>
      <c r="E23" s="59" t="str">
        <f t="shared" si="2"/>
        <v>/</v>
      </c>
      <c r="F23" s="37" t="s">
        <v>196</v>
      </c>
      <c r="G23" s="58"/>
      <c r="H23" s="2" t="s">
        <v>311</v>
      </c>
    </row>
    <row r="24" spans="1:8" x14ac:dyDescent="0.35">
      <c r="A24" s="13" t="s">
        <v>2</v>
      </c>
      <c r="B24" s="13" t="s">
        <v>227</v>
      </c>
      <c r="C24" s="2">
        <v>75</v>
      </c>
      <c r="D24" s="37" t="s">
        <v>219</v>
      </c>
      <c r="E24" s="59" t="str">
        <f t="shared" ref="E24:E55" si="3">IF(A24&lt;&gt;"","/","")</f>
        <v>/</v>
      </c>
      <c r="F24" s="37" t="s">
        <v>74</v>
      </c>
      <c r="G24" s="58"/>
      <c r="H24" s="2" t="s">
        <v>310</v>
      </c>
    </row>
    <row r="25" spans="1:8" x14ac:dyDescent="0.35">
      <c r="A25" s="13" t="s">
        <v>17</v>
      </c>
      <c r="B25" s="13" t="s">
        <v>244</v>
      </c>
      <c r="C25" s="2">
        <v>0.2</v>
      </c>
      <c r="D25" s="37" t="s">
        <v>312</v>
      </c>
      <c r="E25" s="59" t="str">
        <f t="shared" si="3"/>
        <v>/</v>
      </c>
      <c r="F25" s="37" t="s">
        <v>201</v>
      </c>
      <c r="G25" s="58"/>
      <c r="H25" s="2"/>
    </row>
    <row r="26" spans="1:8" x14ac:dyDescent="0.35">
      <c r="A26" s="13" t="s">
        <v>17</v>
      </c>
      <c r="B26" s="13" t="s">
        <v>245</v>
      </c>
      <c r="C26" s="2">
        <v>5.9</v>
      </c>
      <c r="D26" s="37" t="s">
        <v>243</v>
      </c>
      <c r="E26" s="59" t="str">
        <f t="shared" si="3"/>
        <v>/</v>
      </c>
      <c r="F26" s="37" t="s">
        <v>201</v>
      </c>
      <c r="G26" s="58"/>
      <c r="H26" s="2"/>
    </row>
    <row r="27" spans="1:8" x14ac:dyDescent="0.35">
      <c r="A27" s="13" t="s">
        <v>17</v>
      </c>
      <c r="B27" s="13" t="s">
        <v>246</v>
      </c>
      <c r="C27" s="2">
        <v>10</v>
      </c>
      <c r="D27" s="37" t="s">
        <v>313</v>
      </c>
      <c r="E27" s="59" t="str">
        <f t="shared" si="3"/>
        <v>/</v>
      </c>
      <c r="F27" s="37" t="s">
        <v>201</v>
      </c>
      <c r="G27" s="58"/>
      <c r="H27" s="2"/>
    </row>
    <row r="28" spans="1:8" x14ac:dyDescent="0.35">
      <c r="A28" s="13" t="s">
        <v>17</v>
      </c>
      <c r="B28" s="13" t="s">
        <v>247</v>
      </c>
      <c r="C28" s="2">
        <v>11</v>
      </c>
      <c r="D28" s="37" t="s">
        <v>248</v>
      </c>
      <c r="E28" s="59" t="str">
        <f t="shared" si="3"/>
        <v>/</v>
      </c>
      <c r="F28" s="37" t="s">
        <v>141</v>
      </c>
      <c r="G28" s="58"/>
      <c r="H28" s="2"/>
    </row>
    <row r="29" spans="1:8" x14ac:dyDescent="0.35">
      <c r="A29" s="13" t="s">
        <v>17</v>
      </c>
      <c r="B29" s="13" t="s">
        <v>249</v>
      </c>
      <c r="C29" s="2">
        <v>86.3</v>
      </c>
      <c r="D29" s="37" t="s">
        <v>89</v>
      </c>
      <c r="E29" s="59" t="str">
        <f t="shared" si="3"/>
        <v>/</v>
      </c>
      <c r="F29" s="37"/>
      <c r="G29" s="58"/>
      <c r="H29" s="2"/>
    </row>
    <row r="30" spans="1:8" x14ac:dyDescent="0.35">
      <c r="A30" s="13" t="s">
        <v>20</v>
      </c>
      <c r="B30" s="13" t="s">
        <v>250</v>
      </c>
      <c r="C30" s="2">
        <v>2</v>
      </c>
      <c r="D30" s="37" t="s">
        <v>251</v>
      </c>
      <c r="E30" s="59" t="str">
        <f t="shared" si="3"/>
        <v>/</v>
      </c>
      <c r="F30" s="37" t="s">
        <v>192</v>
      </c>
      <c r="G30" s="58"/>
      <c r="H30" s="2"/>
    </row>
    <row r="31" spans="1:8" x14ac:dyDescent="0.35">
      <c r="A31" s="13" t="s">
        <v>23</v>
      </c>
      <c r="B31" s="13" t="s">
        <v>228</v>
      </c>
      <c r="C31" s="2">
        <v>10</v>
      </c>
      <c r="D31" s="37" t="s">
        <v>229</v>
      </c>
      <c r="E31" s="59" t="str">
        <f t="shared" si="3"/>
        <v>/</v>
      </c>
      <c r="F31" s="37" t="s">
        <v>73</v>
      </c>
      <c r="G31" s="58"/>
      <c r="H31" s="2" t="s">
        <v>230</v>
      </c>
    </row>
    <row r="32" spans="1:8" x14ac:dyDescent="0.35">
      <c r="A32" s="13" t="s">
        <v>23</v>
      </c>
      <c r="B32" s="13" t="s">
        <v>231</v>
      </c>
      <c r="C32" s="2">
        <v>4</v>
      </c>
      <c r="D32" s="37" t="s">
        <v>73</v>
      </c>
      <c r="E32" s="59" t="str">
        <f t="shared" si="3"/>
        <v>/</v>
      </c>
      <c r="F32" s="37" t="s">
        <v>232</v>
      </c>
      <c r="G32" s="58"/>
      <c r="H32" s="2" t="s">
        <v>314</v>
      </c>
    </row>
    <row r="33" spans="1:8" x14ac:dyDescent="0.35">
      <c r="A33" s="13" t="s">
        <v>23</v>
      </c>
      <c r="B33" s="13" t="s">
        <v>233</v>
      </c>
      <c r="C33" s="2">
        <v>1</v>
      </c>
      <c r="D33" s="37" t="s">
        <v>234</v>
      </c>
      <c r="E33" s="59" t="str">
        <f t="shared" ref="E33:E51" si="4">IF(A33&lt;&gt;"","/","")</f>
        <v>/</v>
      </c>
      <c r="F33" s="37" t="s">
        <v>232</v>
      </c>
      <c r="G33" s="58"/>
      <c r="H33" s="2" t="s">
        <v>315</v>
      </c>
    </row>
    <row r="34" spans="1:8" x14ac:dyDescent="0.35">
      <c r="A34" s="13" t="s">
        <v>23</v>
      </c>
      <c r="B34" s="13" t="s">
        <v>235</v>
      </c>
      <c r="C34" s="2">
        <v>9.4</v>
      </c>
      <c r="D34" s="37" t="s">
        <v>236</v>
      </c>
      <c r="E34" s="59" t="str">
        <f t="shared" si="4"/>
        <v>/</v>
      </c>
      <c r="F34" s="37" t="s">
        <v>73</v>
      </c>
      <c r="G34" s="58"/>
      <c r="H34" s="2"/>
    </row>
    <row r="35" spans="1:8" x14ac:dyDescent="0.35">
      <c r="A35" s="13" t="s">
        <v>23</v>
      </c>
      <c r="B35" s="13" t="s">
        <v>237</v>
      </c>
      <c r="C35" s="2">
        <v>0.22</v>
      </c>
      <c r="D35" s="37" t="s">
        <v>209</v>
      </c>
      <c r="E35" s="59" t="str">
        <f t="shared" si="4"/>
        <v>/</v>
      </c>
      <c r="F35" s="37" t="s">
        <v>73</v>
      </c>
      <c r="G35" s="58"/>
      <c r="H35" s="2"/>
    </row>
    <row r="36" spans="1:8" x14ac:dyDescent="0.35">
      <c r="A36" s="13" t="s">
        <v>23</v>
      </c>
      <c r="B36" s="13" t="s">
        <v>238</v>
      </c>
      <c r="C36" s="2">
        <v>30.5</v>
      </c>
      <c r="D36" s="37" t="s">
        <v>211</v>
      </c>
      <c r="E36" s="59" t="str">
        <f t="shared" si="4"/>
        <v>/</v>
      </c>
      <c r="F36" s="37" t="s">
        <v>73</v>
      </c>
      <c r="G36" s="58"/>
      <c r="H36" s="2"/>
    </row>
    <row r="37" spans="1:8" x14ac:dyDescent="0.35">
      <c r="A37" s="13" t="s">
        <v>23</v>
      </c>
      <c r="B37" s="13" t="s">
        <v>239</v>
      </c>
      <c r="C37" s="2">
        <v>0.11</v>
      </c>
      <c r="D37" s="37" t="s">
        <v>214</v>
      </c>
      <c r="E37" s="59" t="str">
        <f t="shared" si="4"/>
        <v>/</v>
      </c>
      <c r="F37" s="37" t="s">
        <v>213</v>
      </c>
      <c r="G37" s="58"/>
      <c r="H37" s="2" t="s">
        <v>240</v>
      </c>
    </row>
    <row r="38" spans="1:8" x14ac:dyDescent="0.35">
      <c r="A38" s="13" t="s">
        <v>23</v>
      </c>
      <c r="B38" s="13" t="s">
        <v>241</v>
      </c>
      <c r="C38" s="2">
        <v>0.25</v>
      </c>
      <c r="D38" s="37" t="s">
        <v>217</v>
      </c>
      <c r="E38" s="59" t="str">
        <f t="shared" si="4"/>
        <v>/</v>
      </c>
      <c r="F38" s="37" t="s">
        <v>196</v>
      </c>
      <c r="G38" s="58"/>
      <c r="H38" s="2" t="s">
        <v>316</v>
      </c>
    </row>
    <row r="39" spans="1:8" x14ac:dyDescent="0.35">
      <c r="A39" s="13" t="s">
        <v>23</v>
      </c>
      <c r="B39" s="13" t="s">
        <v>242</v>
      </c>
      <c r="C39" s="2">
        <v>228</v>
      </c>
      <c r="D39" s="37" t="s">
        <v>219</v>
      </c>
      <c r="E39" s="59" t="str">
        <f t="shared" si="4"/>
        <v>/</v>
      </c>
      <c r="F39" s="37" t="s">
        <v>73</v>
      </c>
      <c r="G39" s="58"/>
      <c r="H39" s="2" t="s">
        <v>310</v>
      </c>
    </row>
    <row r="40" spans="1:8" x14ac:dyDescent="0.35">
      <c r="A40" s="13" t="s">
        <v>40</v>
      </c>
      <c r="B40" s="13" t="s">
        <v>252</v>
      </c>
      <c r="C40" s="2">
        <v>0.55000000000000004</v>
      </c>
      <c r="D40" s="37" t="s">
        <v>209</v>
      </c>
      <c r="E40" s="59" t="str">
        <f t="shared" si="4"/>
        <v>/</v>
      </c>
      <c r="F40" s="37" t="s">
        <v>201</v>
      </c>
      <c r="G40" s="58"/>
      <c r="H40" s="2" t="s">
        <v>317</v>
      </c>
    </row>
    <row r="41" spans="1:8" x14ac:dyDescent="0.35">
      <c r="A41" s="13" t="s">
        <v>40</v>
      </c>
      <c r="B41" s="13" t="s">
        <v>253</v>
      </c>
      <c r="C41" s="2">
        <v>0.55000000000000004</v>
      </c>
      <c r="D41" s="37" t="s">
        <v>209</v>
      </c>
      <c r="E41" s="59" t="str">
        <f t="shared" si="4"/>
        <v>/</v>
      </c>
      <c r="F41" s="37" t="s">
        <v>201</v>
      </c>
      <c r="G41" s="58"/>
      <c r="H41" s="2" t="s">
        <v>317</v>
      </c>
    </row>
    <row r="42" spans="1:8" x14ac:dyDescent="0.35">
      <c r="A42" s="13" t="s">
        <v>40</v>
      </c>
      <c r="B42" s="13" t="s">
        <v>254</v>
      </c>
      <c r="C42" s="2">
        <v>2.15</v>
      </c>
      <c r="D42" s="37" t="s">
        <v>209</v>
      </c>
      <c r="E42" s="59" t="str">
        <f t="shared" si="4"/>
        <v>/</v>
      </c>
      <c r="F42" s="37" t="s">
        <v>73</v>
      </c>
      <c r="G42" s="58"/>
      <c r="H42" s="2" t="s">
        <v>255</v>
      </c>
    </row>
    <row r="43" spans="1:8" x14ac:dyDescent="0.35">
      <c r="A43" s="13" t="s">
        <v>40</v>
      </c>
      <c r="B43" s="13" t="s">
        <v>256</v>
      </c>
      <c r="C43" s="2">
        <v>0.54</v>
      </c>
      <c r="D43" s="37" t="s">
        <v>258</v>
      </c>
      <c r="E43" s="59" t="str">
        <f t="shared" si="4"/>
        <v>/</v>
      </c>
      <c r="F43" s="37" t="s">
        <v>257</v>
      </c>
      <c r="G43" s="58"/>
      <c r="H43" s="2" t="s">
        <v>259</v>
      </c>
    </row>
    <row r="44" spans="1:8" x14ac:dyDescent="0.35">
      <c r="A44" s="13" t="s">
        <v>11</v>
      </c>
      <c r="B44" s="13" t="s">
        <v>260</v>
      </c>
      <c r="C44" s="2">
        <v>5.8000000000000003E-2</v>
      </c>
      <c r="D44" s="37" t="s">
        <v>261</v>
      </c>
      <c r="E44" s="59" t="str">
        <f t="shared" si="4"/>
        <v>/</v>
      </c>
      <c r="F44" s="37" t="s">
        <v>196</v>
      </c>
      <c r="G44" s="58"/>
      <c r="H44" s="2"/>
    </row>
    <row r="45" spans="1:8" x14ac:dyDescent="0.35">
      <c r="A45" s="13" t="s">
        <v>11</v>
      </c>
      <c r="B45" s="13" t="s">
        <v>262</v>
      </c>
      <c r="C45" s="2">
        <v>0.05</v>
      </c>
      <c r="D45" s="37" t="s">
        <v>263</v>
      </c>
      <c r="E45" s="59" t="str">
        <f t="shared" si="4"/>
        <v>/</v>
      </c>
      <c r="F45" s="37" t="s">
        <v>196</v>
      </c>
      <c r="G45" s="58"/>
      <c r="H45" s="2"/>
    </row>
    <row r="46" spans="1:8" x14ac:dyDescent="0.35">
      <c r="A46" s="13" t="s">
        <v>11</v>
      </c>
      <c r="B46" s="13" t="s">
        <v>264</v>
      </c>
      <c r="C46" s="2">
        <v>0.01</v>
      </c>
      <c r="D46" s="37" t="s">
        <v>265</v>
      </c>
      <c r="E46" s="59" t="str">
        <f t="shared" si="4"/>
        <v>/</v>
      </c>
      <c r="F46" s="37" t="s">
        <v>196</v>
      </c>
      <c r="G46" s="58"/>
      <c r="H46" s="2" t="s">
        <v>266</v>
      </c>
    </row>
    <row r="47" spans="1:8" x14ac:dyDescent="0.35">
      <c r="A47" s="13" t="s">
        <v>11</v>
      </c>
      <c r="B47" s="13" t="s">
        <v>267</v>
      </c>
      <c r="C47" s="2">
        <v>0.08</v>
      </c>
      <c r="D47" s="37" t="s">
        <v>217</v>
      </c>
      <c r="E47" s="59" t="str">
        <f t="shared" si="4"/>
        <v>/</v>
      </c>
      <c r="F47" s="37" t="s">
        <v>196</v>
      </c>
      <c r="G47" s="58"/>
      <c r="H47" s="2"/>
    </row>
    <row r="48" spans="1:8" x14ac:dyDescent="0.35">
      <c r="A48" s="13" t="s">
        <v>11</v>
      </c>
      <c r="B48" s="13" t="s">
        <v>268</v>
      </c>
      <c r="C48" s="2">
        <v>0.08</v>
      </c>
      <c r="D48" s="37" t="s">
        <v>217</v>
      </c>
      <c r="E48" s="59" t="str">
        <f t="shared" si="4"/>
        <v>/</v>
      </c>
      <c r="F48" s="37" t="s">
        <v>196</v>
      </c>
      <c r="G48" s="58"/>
      <c r="H48" s="2"/>
    </row>
    <row r="49" spans="1:8" x14ac:dyDescent="0.35">
      <c r="A49" s="13" t="s">
        <v>18</v>
      </c>
      <c r="B49" s="13" t="s">
        <v>269</v>
      </c>
      <c r="C49" s="2">
        <v>2E-3</v>
      </c>
      <c r="D49" s="37" t="s">
        <v>271</v>
      </c>
      <c r="E49" s="59" t="str">
        <f t="shared" si="4"/>
        <v>/</v>
      </c>
      <c r="F49" s="37" t="s">
        <v>270</v>
      </c>
      <c r="G49" s="58"/>
      <c r="H49" s="2"/>
    </row>
    <row r="50" spans="1:8" x14ac:dyDescent="0.35">
      <c r="A50" s="13" t="s">
        <v>18</v>
      </c>
      <c r="B50" s="13" t="s">
        <v>272</v>
      </c>
      <c r="C50" s="2">
        <v>0.09</v>
      </c>
      <c r="D50" s="37" t="s">
        <v>271</v>
      </c>
      <c r="E50" s="59" t="str">
        <f t="shared" si="4"/>
        <v>/</v>
      </c>
      <c r="F50" s="37" t="s">
        <v>270</v>
      </c>
      <c r="G50" s="58"/>
      <c r="H50" s="2"/>
    </row>
    <row r="51" spans="1:8" x14ac:dyDescent="0.35">
      <c r="A51" s="13" t="s">
        <v>18</v>
      </c>
      <c r="B51" s="13" t="s">
        <v>273</v>
      </c>
      <c r="C51" s="2">
        <v>1E-3</v>
      </c>
      <c r="D51" s="37" t="s">
        <v>271</v>
      </c>
      <c r="E51" s="59" t="str">
        <f t="shared" si="4"/>
        <v>/</v>
      </c>
      <c r="F51" s="37" t="s">
        <v>270</v>
      </c>
      <c r="G51" s="58"/>
      <c r="H51" s="2"/>
    </row>
    <row r="52" spans="1:8" x14ac:dyDescent="0.35">
      <c r="A52" s="13" t="s">
        <v>18</v>
      </c>
      <c r="B52" s="13" t="s">
        <v>274</v>
      </c>
      <c r="C52" s="2">
        <v>2.5000000000000001E-2</v>
      </c>
      <c r="D52" s="37" t="s">
        <v>271</v>
      </c>
      <c r="E52" s="59" t="str">
        <f t="shared" si="3"/>
        <v>/</v>
      </c>
      <c r="F52" s="37" t="s">
        <v>270</v>
      </c>
      <c r="G52" s="58"/>
      <c r="H52" s="2"/>
    </row>
    <row r="53" spans="1:8" x14ac:dyDescent="0.35">
      <c r="A53" s="13" t="s">
        <v>18</v>
      </c>
      <c r="B53" s="13" t="s">
        <v>275</v>
      </c>
      <c r="C53" s="2">
        <v>3000</v>
      </c>
      <c r="D53" s="37" t="s">
        <v>201</v>
      </c>
      <c r="E53" s="59" t="str">
        <f t="shared" si="3"/>
        <v>/</v>
      </c>
      <c r="F53" s="37" t="s">
        <v>276</v>
      </c>
      <c r="G53" s="58"/>
      <c r="H53" s="2"/>
    </row>
    <row r="54" spans="1:8" x14ac:dyDescent="0.35">
      <c r="A54" s="13" t="s">
        <v>18</v>
      </c>
      <c r="B54" s="13" t="s">
        <v>277</v>
      </c>
      <c r="C54" s="2">
        <v>2E-3</v>
      </c>
      <c r="D54" s="37" t="s">
        <v>278</v>
      </c>
      <c r="E54" s="59" t="str">
        <f t="shared" si="3"/>
        <v>/</v>
      </c>
      <c r="F54" s="37" t="s">
        <v>196</v>
      </c>
      <c r="G54" s="58"/>
      <c r="H54" s="2"/>
    </row>
    <row r="55" spans="1:8" x14ac:dyDescent="0.35">
      <c r="A55" s="13" t="s">
        <v>18</v>
      </c>
      <c r="B55" s="13" t="s">
        <v>279</v>
      </c>
      <c r="C55" s="2">
        <v>2.5000000000000001E-3</v>
      </c>
      <c r="D55" s="37" t="s">
        <v>318</v>
      </c>
      <c r="E55" s="59" t="str">
        <f t="shared" si="3"/>
        <v>/</v>
      </c>
      <c r="F55" s="37" t="s">
        <v>196</v>
      </c>
      <c r="G55" s="58"/>
      <c r="H55" s="2"/>
    </row>
    <row r="56" spans="1:8" x14ac:dyDescent="0.35">
      <c r="A56" s="13"/>
      <c r="B56" s="13"/>
      <c r="C56" s="2"/>
      <c r="D56" s="37"/>
      <c r="E56" s="59" t="str">
        <f t="shared" si="2"/>
        <v/>
      </c>
      <c r="F56" s="37"/>
      <c r="G56" s="58"/>
      <c r="H56" s="2"/>
    </row>
    <row r="57" spans="1:8" x14ac:dyDescent="0.35">
      <c r="A57" s="13"/>
      <c r="B57" s="13"/>
      <c r="C57" s="2"/>
      <c r="D57" s="37"/>
      <c r="E57" s="59" t="str">
        <f t="shared" si="2"/>
        <v/>
      </c>
      <c r="F57" s="37"/>
      <c r="G57" s="58"/>
      <c r="H57" s="2"/>
    </row>
    <row r="58" spans="1:8" x14ac:dyDescent="0.35">
      <c r="A58" s="13"/>
      <c r="B58" s="13"/>
      <c r="C58" s="2"/>
      <c r="D58" s="37"/>
      <c r="E58" s="59" t="str">
        <f t="shared" si="2"/>
        <v/>
      </c>
      <c r="F58" s="37"/>
      <c r="G58" s="58"/>
      <c r="H58" s="2"/>
    </row>
    <row r="59" spans="1:8" x14ac:dyDescent="0.35">
      <c r="A59" s="13"/>
      <c r="B59" s="13"/>
      <c r="C59" s="2"/>
      <c r="D59" s="37"/>
      <c r="E59" s="59" t="str">
        <f t="shared" si="2"/>
        <v/>
      </c>
      <c r="F59" s="37"/>
      <c r="G59" s="58"/>
      <c r="H59" s="2"/>
    </row>
    <row r="60" spans="1:8" x14ac:dyDescent="0.35">
      <c r="A60" s="13"/>
      <c r="B60" s="13"/>
      <c r="C60" s="2"/>
      <c r="D60" s="37"/>
      <c r="E60" s="59" t="str">
        <f t="shared" si="2"/>
        <v/>
      </c>
      <c r="F60" s="37"/>
      <c r="G60" s="58"/>
      <c r="H60" s="2"/>
    </row>
    <row r="61" spans="1:8" x14ac:dyDescent="0.35">
      <c r="A61" s="13"/>
      <c r="B61" s="13"/>
      <c r="C61" s="2"/>
      <c r="D61" s="37"/>
      <c r="E61" s="59" t="str">
        <f t="shared" si="1"/>
        <v/>
      </c>
      <c r="F61" s="37"/>
      <c r="G61" s="58"/>
      <c r="H61" s="2"/>
    </row>
    <row r="62" spans="1:8" x14ac:dyDescent="0.35">
      <c r="A62" s="13"/>
      <c r="B62" s="13"/>
      <c r="C62" s="2"/>
      <c r="D62" s="37"/>
      <c r="E62" s="59" t="str">
        <f t="shared" si="1"/>
        <v/>
      </c>
      <c r="F62" s="37"/>
      <c r="G62" s="58"/>
      <c r="H62" s="2"/>
    </row>
    <row r="63" spans="1:8" x14ac:dyDescent="0.35">
      <c r="A63" s="13"/>
      <c r="B63" s="13"/>
      <c r="C63" s="2"/>
      <c r="D63" s="37"/>
      <c r="E63" s="59" t="str">
        <f t="shared" si="1"/>
        <v/>
      </c>
      <c r="F63" s="37"/>
      <c r="G63" s="58"/>
      <c r="H63" s="2"/>
    </row>
    <row r="64" spans="1:8" x14ac:dyDescent="0.35">
      <c r="A64" s="13"/>
      <c r="B64" s="13"/>
      <c r="C64" s="2"/>
      <c r="D64" s="37"/>
      <c r="E64" s="59" t="str">
        <f t="shared" si="1"/>
        <v/>
      </c>
      <c r="F64" s="37"/>
      <c r="G64" s="58"/>
      <c r="H64" s="2"/>
    </row>
    <row r="65" spans="1:8" x14ac:dyDescent="0.35">
      <c r="A65" s="13"/>
      <c r="B65" s="13"/>
      <c r="C65" s="2"/>
      <c r="D65" s="37"/>
      <c r="E65" s="59" t="str">
        <f t="shared" si="1"/>
        <v/>
      </c>
      <c r="F65" s="37"/>
      <c r="G65" s="58"/>
      <c r="H65" s="2"/>
    </row>
    <row r="66" spans="1:8" x14ac:dyDescent="0.35">
      <c r="A66" s="13"/>
      <c r="B66" s="13"/>
      <c r="C66" s="2"/>
      <c r="D66" s="37"/>
      <c r="E66" s="59" t="str">
        <f t="shared" si="1"/>
        <v/>
      </c>
      <c r="F66" s="37"/>
      <c r="G66" s="58"/>
      <c r="H66" s="2"/>
    </row>
    <row r="67" spans="1:8" x14ac:dyDescent="0.35">
      <c r="A67" s="13"/>
      <c r="B67" s="13"/>
      <c r="C67" s="2"/>
      <c r="D67" s="37"/>
      <c r="E67" s="59" t="str">
        <f t="shared" si="1"/>
        <v/>
      </c>
      <c r="F67" s="37"/>
      <c r="G67" s="58"/>
      <c r="H67" s="2"/>
    </row>
    <row r="68" spans="1:8" x14ac:dyDescent="0.35">
      <c r="A68" s="13"/>
      <c r="B68" s="13"/>
      <c r="C68" s="2"/>
      <c r="D68" s="37"/>
      <c r="E68" s="59" t="str">
        <f t="shared" si="1"/>
        <v/>
      </c>
      <c r="F68" s="37"/>
      <c r="G68" s="58"/>
      <c r="H68" s="2"/>
    </row>
    <row r="69" spans="1:8" x14ac:dyDescent="0.35">
      <c r="A69" s="13"/>
      <c r="B69" s="13"/>
      <c r="C69" s="2"/>
      <c r="D69" s="37"/>
      <c r="E69" s="59" t="str">
        <f t="shared" si="1"/>
        <v/>
      </c>
      <c r="F69" s="37"/>
      <c r="G69" s="58"/>
      <c r="H69" s="2"/>
    </row>
    <row r="70" spans="1:8" x14ac:dyDescent="0.35">
      <c r="A70" s="13"/>
      <c r="B70" s="13"/>
      <c r="C70" s="2"/>
      <c r="D70" s="37"/>
      <c r="E70" s="59" t="str">
        <f t="shared" si="1"/>
        <v/>
      </c>
      <c r="F70" s="37"/>
      <c r="G70" s="58"/>
      <c r="H70" s="2"/>
    </row>
    <row r="71" spans="1:8" x14ac:dyDescent="0.35">
      <c r="A71" s="13"/>
      <c r="B71" s="13"/>
      <c r="C71" s="2"/>
      <c r="D71" s="37"/>
      <c r="E71" s="59" t="str">
        <f t="shared" si="1"/>
        <v/>
      </c>
      <c r="F71" s="37"/>
      <c r="G71" s="58"/>
      <c r="H71" s="2"/>
    </row>
    <row r="72" spans="1:8" x14ac:dyDescent="0.35">
      <c r="A72" s="13"/>
      <c r="B72" s="13"/>
      <c r="C72" s="2"/>
      <c r="D72" s="37"/>
      <c r="E72" s="59" t="str">
        <f t="shared" si="1"/>
        <v/>
      </c>
      <c r="F72" s="37"/>
      <c r="G72" s="58"/>
      <c r="H72" s="2"/>
    </row>
    <row r="73" spans="1:8" x14ac:dyDescent="0.35">
      <c r="A73" s="13"/>
      <c r="B73" s="13"/>
      <c r="C73" s="2"/>
      <c r="D73" s="37"/>
      <c r="E73" s="59" t="str">
        <f t="shared" si="1"/>
        <v/>
      </c>
      <c r="F73" s="37"/>
      <c r="G73" s="58"/>
      <c r="H73" s="2"/>
    </row>
    <row r="74" spans="1:8" x14ac:dyDescent="0.35">
      <c r="A74" s="13"/>
      <c r="B74" s="13"/>
      <c r="C74" s="2"/>
      <c r="D74" s="37"/>
      <c r="E74" s="59" t="str">
        <f t="shared" si="1"/>
        <v/>
      </c>
      <c r="F74" s="37"/>
      <c r="G74" s="58"/>
      <c r="H74" s="2"/>
    </row>
    <row r="75" spans="1:8" x14ac:dyDescent="0.35">
      <c r="A75" s="13"/>
      <c r="B75" s="13"/>
      <c r="C75" s="2"/>
      <c r="D75" s="37"/>
      <c r="E75" s="59" t="str">
        <f t="shared" si="1"/>
        <v/>
      </c>
      <c r="F75" s="37"/>
      <c r="G75" s="58"/>
      <c r="H75" s="2"/>
    </row>
    <row r="76" spans="1:8" x14ac:dyDescent="0.35">
      <c r="A76" s="13"/>
      <c r="B76" s="13"/>
      <c r="C76" s="2"/>
      <c r="D76" s="37"/>
      <c r="E76" s="59" t="str">
        <f t="shared" si="1"/>
        <v/>
      </c>
      <c r="F76" s="37"/>
      <c r="G76" s="58"/>
      <c r="H76" s="2"/>
    </row>
    <row r="77" spans="1:8" x14ac:dyDescent="0.35">
      <c r="A77" s="13"/>
      <c r="B77" s="13"/>
      <c r="C77" s="2"/>
      <c r="D77" s="37"/>
      <c r="E77" s="59" t="str">
        <f t="shared" si="1"/>
        <v/>
      </c>
      <c r="F77" s="37"/>
      <c r="G77" s="58"/>
      <c r="H77" s="2"/>
    </row>
    <row r="78" spans="1:8" x14ac:dyDescent="0.35">
      <c r="A78" s="13"/>
      <c r="B78" s="13"/>
      <c r="C78" s="2"/>
      <c r="D78" s="37"/>
      <c r="E78" s="59" t="str">
        <f t="shared" si="1"/>
        <v/>
      </c>
      <c r="F78" s="37"/>
      <c r="G78" s="58"/>
      <c r="H78" s="2"/>
    </row>
    <row r="79" spans="1:8" x14ac:dyDescent="0.35">
      <c r="A79" s="13"/>
      <c r="B79" s="13"/>
      <c r="C79" s="2"/>
      <c r="D79" s="37"/>
      <c r="E79" s="59" t="str">
        <f t="shared" si="1"/>
        <v/>
      </c>
      <c r="F79" s="37"/>
      <c r="G79" s="58"/>
      <c r="H79" s="2"/>
    </row>
    <row r="80" spans="1:8" x14ac:dyDescent="0.35">
      <c r="A80" s="13"/>
      <c r="B80" s="13"/>
      <c r="C80" s="2"/>
      <c r="D80" s="37"/>
      <c r="E80" s="59" t="str">
        <f t="shared" si="1"/>
        <v/>
      </c>
      <c r="F80" s="37"/>
      <c r="G80" s="58"/>
      <c r="H80" s="2"/>
    </row>
    <row r="81" spans="1:8" x14ac:dyDescent="0.35">
      <c r="A81" s="13"/>
      <c r="B81" s="13"/>
      <c r="C81" s="2"/>
      <c r="D81" s="37"/>
      <c r="E81" s="59" t="str">
        <f t="shared" ref="E81:E82" si="5">IF(A81&lt;&gt;"","/","")</f>
        <v/>
      </c>
      <c r="F81" s="37"/>
      <c r="G81" s="58"/>
      <c r="H81" s="2"/>
    </row>
    <row r="82" spans="1:8" x14ac:dyDescent="0.35">
      <c r="A82" s="13"/>
      <c r="B82" s="13"/>
      <c r="C82" s="2"/>
      <c r="D82" s="37"/>
      <c r="E82" s="59" t="str">
        <f t="shared" si="5"/>
        <v/>
      </c>
      <c r="F82" s="37"/>
      <c r="G82" s="58"/>
      <c r="H82" s="2"/>
    </row>
    <row r="83" spans="1:8" x14ac:dyDescent="0.35">
      <c r="A83" s="13"/>
      <c r="B83" s="13"/>
      <c r="C83" s="2"/>
      <c r="D83" s="37"/>
      <c r="E83" s="59" t="str">
        <f t="shared" ref="E83:E103" si="6">IF(A83&lt;&gt;"","/","")</f>
        <v/>
      </c>
      <c r="F83" s="37"/>
      <c r="G83" s="58"/>
      <c r="H83" s="2"/>
    </row>
    <row r="84" spans="1:8" x14ac:dyDescent="0.35">
      <c r="A84" s="13"/>
      <c r="B84" s="13"/>
      <c r="C84" s="2"/>
      <c r="D84" s="37"/>
      <c r="E84" s="59" t="str">
        <f t="shared" si="6"/>
        <v/>
      </c>
      <c r="F84" s="37"/>
      <c r="G84" s="58"/>
      <c r="H84" s="2"/>
    </row>
    <row r="85" spans="1:8" x14ac:dyDescent="0.35">
      <c r="A85" s="13"/>
      <c r="B85" s="13"/>
      <c r="C85" s="2"/>
      <c r="D85" s="37"/>
      <c r="E85" s="59" t="str">
        <f t="shared" si="6"/>
        <v/>
      </c>
      <c r="F85" s="37"/>
      <c r="G85" s="58"/>
      <c r="H85" s="2"/>
    </row>
    <row r="86" spans="1:8" x14ac:dyDescent="0.35">
      <c r="A86" s="13"/>
      <c r="B86" s="13"/>
      <c r="C86" s="2"/>
      <c r="D86" s="37"/>
      <c r="E86" s="59" t="str">
        <f t="shared" si="6"/>
        <v/>
      </c>
      <c r="F86" s="37"/>
      <c r="G86" s="58"/>
      <c r="H86" s="2"/>
    </row>
    <row r="87" spans="1:8" x14ac:dyDescent="0.35">
      <c r="A87" s="13"/>
      <c r="B87" s="13"/>
      <c r="C87" s="2"/>
      <c r="D87" s="37"/>
      <c r="E87" s="59" t="str">
        <f t="shared" si="6"/>
        <v/>
      </c>
      <c r="F87" s="37"/>
      <c r="G87" s="58"/>
      <c r="H87" s="2"/>
    </row>
    <row r="88" spans="1:8" x14ac:dyDescent="0.35">
      <c r="A88" s="13"/>
      <c r="B88" s="13"/>
      <c r="C88" s="2"/>
      <c r="D88" s="37"/>
      <c r="E88" s="59" t="str">
        <f t="shared" si="6"/>
        <v/>
      </c>
      <c r="F88" s="37"/>
      <c r="G88" s="58"/>
      <c r="H88" s="2"/>
    </row>
    <row r="89" spans="1:8" x14ac:dyDescent="0.35">
      <c r="A89" s="13"/>
      <c r="B89" s="13"/>
      <c r="C89" s="2"/>
      <c r="D89" s="37"/>
      <c r="E89" s="59" t="str">
        <f t="shared" si="6"/>
        <v/>
      </c>
      <c r="F89" s="37"/>
      <c r="G89" s="58"/>
      <c r="H89" s="2"/>
    </row>
    <row r="90" spans="1:8" x14ac:dyDescent="0.35">
      <c r="A90" s="13"/>
      <c r="B90" s="13"/>
      <c r="C90" s="2"/>
      <c r="D90" s="37"/>
      <c r="E90" s="59" t="str">
        <f t="shared" si="6"/>
        <v/>
      </c>
      <c r="F90" s="37"/>
      <c r="G90" s="58"/>
      <c r="H90" s="2"/>
    </row>
    <row r="91" spans="1:8" x14ac:dyDescent="0.35">
      <c r="A91" s="13"/>
      <c r="B91" s="13"/>
      <c r="C91" s="2"/>
      <c r="D91" s="37"/>
      <c r="E91" s="59" t="str">
        <f t="shared" si="6"/>
        <v/>
      </c>
      <c r="F91" s="37"/>
      <c r="G91" s="58"/>
      <c r="H91" s="2"/>
    </row>
    <row r="92" spans="1:8" x14ac:dyDescent="0.35">
      <c r="A92" s="13"/>
      <c r="B92" s="13"/>
      <c r="C92" s="2"/>
      <c r="D92" s="37"/>
      <c r="E92" s="59" t="str">
        <f t="shared" si="6"/>
        <v/>
      </c>
      <c r="F92" s="37"/>
      <c r="G92" s="58"/>
      <c r="H92" s="2"/>
    </row>
    <row r="93" spans="1:8" x14ac:dyDescent="0.35">
      <c r="A93" s="13"/>
      <c r="B93" s="13"/>
      <c r="C93" s="2"/>
      <c r="D93" s="37"/>
      <c r="E93" s="59" t="str">
        <f t="shared" si="6"/>
        <v/>
      </c>
      <c r="F93" s="37"/>
      <c r="G93" s="58"/>
      <c r="H93" s="2"/>
    </row>
    <row r="94" spans="1:8" x14ac:dyDescent="0.35">
      <c r="A94" s="13"/>
      <c r="B94" s="13"/>
      <c r="C94" s="2"/>
      <c r="D94" s="37"/>
      <c r="E94" s="59" t="str">
        <f t="shared" si="6"/>
        <v/>
      </c>
      <c r="F94" s="37"/>
      <c r="G94" s="58"/>
      <c r="H94" s="2"/>
    </row>
    <row r="95" spans="1:8" x14ac:dyDescent="0.35">
      <c r="A95" s="13"/>
      <c r="B95" s="13"/>
      <c r="C95" s="2"/>
      <c r="D95" s="37"/>
      <c r="E95" s="59" t="str">
        <f t="shared" si="6"/>
        <v/>
      </c>
      <c r="F95" s="37"/>
      <c r="G95" s="58"/>
      <c r="H95" s="2"/>
    </row>
    <row r="96" spans="1:8" x14ac:dyDescent="0.35">
      <c r="A96" s="13"/>
      <c r="B96" s="13"/>
      <c r="C96" s="2"/>
      <c r="D96" s="37"/>
      <c r="E96" s="59" t="str">
        <f t="shared" si="6"/>
        <v/>
      </c>
      <c r="F96" s="37"/>
      <c r="G96" s="58"/>
      <c r="H96" s="2"/>
    </row>
    <row r="97" spans="1:8" x14ac:dyDescent="0.35">
      <c r="A97" s="13"/>
      <c r="B97" s="13"/>
      <c r="C97" s="2"/>
      <c r="D97" s="37"/>
      <c r="E97" s="59" t="str">
        <f t="shared" si="6"/>
        <v/>
      </c>
      <c r="F97" s="37"/>
      <c r="G97" s="58"/>
      <c r="H97" s="2"/>
    </row>
    <row r="98" spans="1:8" x14ac:dyDescent="0.35">
      <c r="A98" s="13"/>
      <c r="B98" s="13"/>
      <c r="C98" s="2"/>
      <c r="D98" s="37"/>
      <c r="E98" s="59" t="str">
        <f t="shared" si="6"/>
        <v/>
      </c>
      <c r="F98" s="37"/>
      <c r="G98" s="58"/>
      <c r="H98" s="2"/>
    </row>
    <row r="99" spans="1:8" x14ac:dyDescent="0.35">
      <c r="A99" s="13"/>
      <c r="B99" s="13"/>
      <c r="C99" s="2"/>
      <c r="D99" s="37"/>
      <c r="E99" s="59" t="str">
        <f t="shared" si="6"/>
        <v/>
      </c>
      <c r="F99" s="37"/>
      <c r="G99" s="58"/>
      <c r="H99" s="2"/>
    </row>
    <row r="100" spans="1:8" x14ac:dyDescent="0.35">
      <c r="A100" s="13"/>
      <c r="B100" s="13"/>
      <c r="C100" s="2"/>
      <c r="D100" s="37"/>
      <c r="E100" s="59" t="str">
        <f t="shared" si="6"/>
        <v/>
      </c>
      <c r="F100" s="37"/>
      <c r="G100" s="58"/>
      <c r="H100" s="2"/>
    </row>
    <row r="101" spans="1:8" x14ac:dyDescent="0.35">
      <c r="A101" s="13"/>
      <c r="B101" s="13"/>
      <c r="C101" s="2"/>
      <c r="D101" s="37"/>
      <c r="E101" s="59" t="str">
        <f t="shared" si="6"/>
        <v/>
      </c>
      <c r="F101" s="37"/>
      <c r="G101" s="58"/>
      <c r="H101" s="2"/>
    </row>
    <row r="102" spans="1:8" x14ac:dyDescent="0.35">
      <c r="A102" s="13"/>
      <c r="B102" s="13"/>
      <c r="C102" s="2"/>
      <c r="D102" s="37"/>
      <c r="E102" s="59" t="str">
        <f t="shared" si="6"/>
        <v/>
      </c>
      <c r="F102" s="37"/>
      <c r="G102" s="58"/>
      <c r="H102" s="2"/>
    </row>
    <row r="103" spans="1:8" x14ac:dyDescent="0.35">
      <c r="A103" s="13"/>
      <c r="B103" s="13"/>
      <c r="C103" s="2"/>
      <c r="D103" s="37"/>
      <c r="E103" s="59" t="str">
        <f t="shared" si="6"/>
        <v/>
      </c>
      <c r="F103" s="37"/>
      <c r="G103" s="58"/>
      <c r="H103" s="2"/>
    </row>
  </sheetData>
  <sheetProtection algorithmName="SHA-512" hashValue="kVPVKnX/b5Gns8PU0LAbsR538tlHx0O1aW3ykVjRv2LVybpCnuy9ZSg6KwghL+rRfE0l5420oxzp30FdNM/qmw==" saltValue="nhT7MvIvdpcn1yq4qAIFMQ=="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x14ac:dyDescent="0.35"/>
  <cols>
    <col min="1" max="1" width="10.90625" style="1" customWidth="1"/>
    <col min="2" max="2" width="1.1796875" style="1" customWidth="1"/>
    <col min="3" max="3" width="148.6328125" style="1" customWidth="1"/>
    <col min="4" max="16384" width="8.90625" style="1"/>
  </cols>
  <sheetData>
    <row r="1" spans="1:3" ht="29" x14ac:dyDescent="0.35">
      <c r="A1" s="40" t="s">
        <v>24</v>
      </c>
      <c r="B1" s="41"/>
      <c r="C1" s="42" t="s">
        <v>68</v>
      </c>
    </row>
    <row r="2" spans="1:3" ht="15" thickBot="1" x14ac:dyDescent="0.4">
      <c r="A2"/>
      <c r="B2"/>
      <c r="C2"/>
    </row>
    <row r="3" spans="1:3" s="39" customFormat="1" ht="73.5" thickTop="1" thickBot="1" x14ac:dyDescent="0.4">
      <c r="A3" s="43" t="s">
        <v>27</v>
      </c>
      <c r="B3" s="44"/>
      <c r="C3" s="45" t="s">
        <v>34</v>
      </c>
    </row>
    <row r="4" spans="1:3" s="39" customFormat="1" ht="59" thickTop="1" thickBot="1" x14ac:dyDescent="0.4">
      <c r="A4" s="46" t="s">
        <v>31</v>
      </c>
      <c r="B4" s="44"/>
      <c r="C4" s="47" t="s">
        <v>66</v>
      </c>
    </row>
    <row r="5" spans="1:3" s="39" customFormat="1" ht="30" thickTop="1" thickBot="1" x14ac:dyDescent="0.4">
      <c r="A5" s="43" t="s">
        <v>28</v>
      </c>
      <c r="B5" s="44"/>
      <c r="C5" s="45" t="s">
        <v>69</v>
      </c>
    </row>
    <row r="6" spans="1:3" s="39" customFormat="1" ht="59" thickTop="1" thickBot="1" x14ac:dyDescent="0.4">
      <c r="A6" s="46" t="s">
        <v>4</v>
      </c>
      <c r="B6" s="44"/>
      <c r="C6" s="47" t="s">
        <v>37</v>
      </c>
    </row>
    <row r="7" spans="1:3" s="39" customFormat="1" ht="88" thickTop="1" thickBot="1" x14ac:dyDescent="0.4">
      <c r="A7" s="43" t="s">
        <v>14</v>
      </c>
      <c r="B7" s="44"/>
      <c r="C7" s="45" t="s">
        <v>67</v>
      </c>
    </row>
    <row r="8" spans="1:3" s="39" customFormat="1" ht="59" thickTop="1" thickBot="1" x14ac:dyDescent="0.4">
      <c r="A8" s="46" t="s">
        <v>6</v>
      </c>
      <c r="B8" s="44"/>
      <c r="C8" s="47" t="s">
        <v>42</v>
      </c>
    </row>
    <row r="9" spans="1:3" s="39" customFormat="1" ht="59" thickTop="1" thickBot="1" x14ac:dyDescent="0.4">
      <c r="A9" s="43" t="s">
        <v>5</v>
      </c>
      <c r="B9" s="44"/>
      <c r="C9" s="45" t="s">
        <v>35</v>
      </c>
    </row>
    <row r="10" spans="1:3" s="39" customFormat="1" ht="44.5" thickTop="1" thickBot="1" x14ac:dyDescent="0.4">
      <c r="A10" s="46" t="s">
        <v>12</v>
      </c>
      <c r="B10" s="44"/>
      <c r="C10" s="47" t="s">
        <v>36</v>
      </c>
    </row>
    <row r="11" spans="1:3" s="39" customFormat="1" ht="30" thickTop="1" thickBot="1" x14ac:dyDescent="0.4">
      <c r="A11" s="43" t="s">
        <v>60</v>
      </c>
      <c r="B11" s="44"/>
      <c r="C11" s="45" t="s">
        <v>70</v>
      </c>
    </row>
    <row r="12" spans="1:3" s="39" customFormat="1" ht="44.5" thickTop="1" thickBot="1" x14ac:dyDescent="0.4">
      <c r="A12" s="46" t="s">
        <v>59</v>
      </c>
      <c r="B12" s="44"/>
      <c r="C12" s="47" t="s">
        <v>71</v>
      </c>
    </row>
    <row r="13" spans="1:3" s="39" customFormat="1" ht="44.5" thickTop="1" thickBot="1" x14ac:dyDescent="0.4">
      <c r="A13" s="43" t="s">
        <v>29</v>
      </c>
      <c r="B13" s="44"/>
      <c r="C13" s="45" t="s">
        <v>33</v>
      </c>
    </row>
    <row r="14" spans="1:3" s="39" customFormat="1" ht="44.5" thickTop="1" thickBot="1" x14ac:dyDescent="0.4">
      <c r="A14" s="46" t="s">
        <v>30</v>
      </c>
      <c r="B14" s="44"/>
      <c r="C14" s="47" t="s">
        <v>72</v>
      </c>
    </row>
    <row r="15" spans="1:3" ht="15" thickTop="1" x14ac:dyDescent="0.35"/>
    <row r="16" spans="1:3" x14ac:dyDescent="0.35">
      <c r="C16" s="42" t="s">
        <v>44</v>
      </c>
    </row>
    <row r="17" spans="1:3" ht="29" x14ac:dyDescent="0.35">
      <c r="A17" s="50" t="s">
        <v>7</v>
      </c>
      <c r="C17" s="52" t="s">
        <v>45</v>
      </c>
    </row>
    <row r="18" spans="1:3" ht="29" x14ac:dyDescent="0.35">
      <c r="A18" s="51" t="s">
        <v>1</v>
      </c>
      <c r="C18" s="53" t="s">
        <v>46</v>
      </c>
    </row>
    <row r="19" spans="1:3" ht="29" x14ac:dyDescent="0.35">
      <c r="A19" s="50" t="s">
        <v>2</v>
      </c>
      <c r="C19" s="52" t="s">
        <v>47</v>
      </c>
    </row>
    <row r="20" spans="1:3" ht="29" x14ac:dyDescent="0.35">
      <c r="A20" s="51" t="s">
        <v>23</v>
      </c>
      <c r="C20" s="53" t="s">
        <v>48</v>
      </c>
    </row>
    <row r="21" spans="1:3" ht="29" x14ac:dyDescent="0.35">
      <c r="A21" s="50" t="s">
        <v>17</v>
      </c>
      <c r="C21" s="52" t="s">
        <v>49</v>
      </c>
    </row>
    <row r="22" spans="1:3" ht="29" x14ac:dyDescent="0.35">
      <c r="A22" s="51" t="s">
        <v>20</v>
      </c>
      <c r="C22" s="53" t="s">
        <v>50</v>
      </c>
    </row>
    <row r="23" spans="1:3" ht="43.5" x14ac:dyDescent="0.35">
      <c r="A23" s="50" t="s">
        <v>40</v>
      </c>
      <c r="C23" s="52" t="s">
        <v>51</v>
      </c>
    </row>
    <row r="24" spans="1:3" ht="28.75" customHeight="1" x14ac:dyDescent="0.35">
      <c r="A24" s="51" t="s">
        <v>41</v>
      </c>
      <c r="C24" s="53" t="s">
        <v>55</v>
      </c>
    </row>
    <row r="25" spans="1:3" ht="29" x14ac:dyDescent="0.35">
      <c r="A25" s="50" t="s">
        <v>11</v>
      </c>
      <c r="C25" s="52" t="s">
        <v>56</v>
      </c>
    </row>
    <row r="26" spans="1:3" ht="43.5" x14ac:dyDescent="0.35">
      <c r="A26" s="51" t="s">
        <v>18</v>
      </c>
      <c r="C26" s="53" t="s">
        <v>52</v>
      </c>
    </row>
    <row r="27" spans="1:3" ht="101.5" x14ac:dyDescent="0.3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Jacob Cieply</cp:lastModifiedBy>
  <cp:lastPrinted>2024-10-11T20:45:17Z</cp:lastPrinted>
  <dcterms:created xsi:type="dcterms:W3CDTF">2022-06-28T17:46:43Z</dcterms:created>
  <dcterms:modified xsi:type="dcterms:W3CDTF">2026-04-14T16:05:23Z</dcterms:modified>
</cp:coreProperties>
</file>