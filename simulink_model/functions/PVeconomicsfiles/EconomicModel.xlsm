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31E1E3E7-1765-4B1A-A982-FE6B382E7E2E}" xr6:coauthVersionLast="47" xr6:coauthVersionMax="47" xr10:uidLastSave="{00000000-0000-0000-0000-000000000000}"/>
  <bookViews>
    <workbookView xWindow="9600" yWindow="3890" windowWidth="28800" windowHeight="1546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C16" i="3" s="1"/>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F10" i="21"/>
  <c r="H11" i="18"/>
  <c r="H20" i="17"/>
  <c r="H11" i="17"/>
  <c r="F21" i="22"/>
  <c r="H16" i="17"/>
  <c r="H17" i="21"/>
  <c r="F21" i="14"/>
  <c r="F13" i="21"/>
  <c r="H14" i="18"/>
  <c r="F20" i="16"/>
  <c r="H11" i="20"/>
  <c r="H15" i="21"/>
  <c r="F19" i="3"/>
  <c r="F21" i="20"/>
  <c r="H10" i="20"/>
  <c r="F14" i="21"/>
  <c r="F20" i="3"/>
  <c r="H18" i="14"/>
  <c r="F16" i="14"/>
  <c r="F17" i="17"/>
  <c r="H16" i="14"/>
  <c r="H17" i="17"/>
  <c r="F14" i="17"/>
  <c r="F17" i="14"/>
  <c r="H21" i="21"/>
  <c r="H18" i="3"/>
  <c r="F21" i="21"/>
  <c r="F15" i="14"/>
  <c r="H17" i="14"/>
  <c r="F13" i="20"/>
  <c r="H17" i="20"/>
  <c r="F20" i="21"/>
  <c r="F19" i="14"/>
  <c r="F12" i="20"/>
  <c r="H19" i="3"/>
  <c r="F11" i="20"/>
  <c r="H13" i="19"/>
  <c r="F18" i="14"/>
  <c r="H21" i="20"/>
  <c r="H14" i="20"/>
  <c r="F17" i="24"/>
  <c r="H11" i="16"/>
  <c r="H10" i="24"/>
  <c r="F10" i="20"/>
  <c r="H13" i="20"/>
  <c r="F20" i="17"/>
  <c r="H20" i="3"/>
  <c r="H20" i="14"/>
  <c r="H15" i="17"/>
  <c r="H20" i="21"/>
  <c r="F17" i="20"/>
  <c r="H12" i="17"/>
  <c r="F15" i="20"/>
  <c r="F15" i="19"/>
  <c r="F21" i="17"/>
  <c r="F20" i="20"/>
  <c r="F11" i="17"/>
  <c r="H21" i="3"/>
  <c r="F18" i="3"/>
  <c r="F10" i="17"/>
  <c r="F21" i="3"/>
  <c r="F20" i="14"/>
  <c r="H12" i="20"/>
  <c r="F12" i="17"/>
  <c r="F19" i="20"/>
  <c r="F12" i="21"/>
  <c r="H21" i="17"/>
  <c r="F17" i="21"/>
  <c r="H15" i="14"/>
  <c r="H13" i="17"/>
  <c r="H19" i="14"/>
  <c r="H10" i="16"/>
  <c r="H21" i="14"/>
  <c r="F10" i="18"/>
  <c r="F16" i="21"/>
  <c r="F11" i="21"/>
  <c r="H10" i="17"/>
  <c r="F19" i="17"/>
  <c r="H12" i="19"/>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3" i="17"/>
  <c r="F11" i="18"/>
  <c r="H11" i="19"/>
  <c r="F15" i="21"/>
  <c r="H11" i="22"/>
  <c r="F10" i="16"/>
  <c r="H20" i="22"/>
  <c r="H16" i="19"/>
  <c r="H17" i="18"/>
  <c r="F17" i="19"/>
  <c r="F16" i="19"/>
  <c r="H20" i="16"/>
  <c r="F14" i="20"/>
  <c r="F12" i="24"/>
  <c r="H13" i="24"/>
  <c r="H14" i="17"/>
  <c r="F11" i="19"/>
  <c r="H18" i="24"/>
  <c r="H16" i="18"/>
  <c r="H19" i="19"/>
  <c r="F14" i="18"/>
  <c r="H21" i="19"/>
  <c r="H10" i="19"/>
  <c r="H15" i="20"/>
  <c r="F11" i="22"/>
  <c r="F21" i="16"/>
  <c r="H20" i="19"/>
  <c r="F18" i="18"/>
  <c r="H16" i="21"/>
  <c r="H17" i="24"/>
  <c r="F15" i="24"/>
  <c r="F19" i="16"/>
  <c r="H13" i="16"/>
  <c r="F16" i="16"/>
  <c r="H14" i="21"/>
  <c r="F13" i="24"/>
  <c r="F12" i="19"/>
  <c r="F16" i="22"/>
  <c r="H13" i="18"/>
  <c r="H19" i="18"/>
  <c r="F16" i="17"/>
  <c r="H11" i="24"/>
  <c r="F18" i="24"/>
  <c r="H21" i="16"/>
  <c r="F21" i="19"/>
  <c r="F13" i="16"/>
  <c r="H17" i="16"/>
  <c r="H13" i="21"/>
  <c r="H12" i="18"/>
  <c r="F16" i="18"/>
  <c r="H19" i="24"/>
  <c r="F10" i="24"/>
  <c r="H19" i="17"/>
  <c r="H21" i="24"/>
  <c r="H14" i="19"/>
  <c r="F11" i="16"/>
  <c r="H12" i="24"/>
  <c r="H21" i="22"/>
  <c r="F10" i="19"/>
  <c r="F14" i="24"/>
  <c r="H15" i="24"/>
  <c r="F21" i="18"/>
  <c r="F14" i="16"/>
  <c r="H15" i="19"/>
  <c r="F17" i="18"/>
  <c r="F15" i="16"/>
  <c r="F20" i="18"/>
  <c r="F16" i="20"/>
  <c r="F18" i="16"/>
  <c r="F20" i="22"/>
  <c r="F17" i="16"/>
  <c r="H10" i="22"/>
  <c r="F15" i="17"/>
  <c r="H19" i="16"/>
  <c r="F19" i="24"/>
  <c r="H10" i="21"/>
  <c r="H17" i="19"/>
  <c r="H16" i="24"/>
  <c r="F12" i="18"/>
  <c r="H19" i="22"/>
  <c r="H14" i="24"/>
  <c r="F10" i="22"/>
  <c r="F21" i="24"/>
  <c r="F20" i="24"/>
  <c r="H16" i="22"/>
  <c r="H12" i="21"/>
  <c r="H19" i="20"/>
  <c r="H20" i="24"/>
  <c r="F12" i="16"/>
  <c r="F19" i="19"/>
  <c r="F13" i="19"/>
  <c r="F15" i="18"/>
  <c r="H14" i="16"/>
  <c r="H12" i="16"/>
  <c r="H20" i="18"/>
  <c r="F20" i="19"/>
  <c r="F19" i="22"/>
  <c r="H16" i="16"/>
  <c r="F14" i="19"/>
  <c r="F11" i="24"/>
  <c r="H15" i="16"/>
  <c r="F19" i="18"/>
  <c r="H10" i="18"/>
  <c r="H15" i="18"/>
  <c r="F16" i="24"/>
  <c r="H18" i="18"/>
  <c r="H11" i="21"/>
  <c r="F13" i="18"/>
  <c r="F18" i="19"/>
  <c r="H18" i="16"/>
  <c r="H18" i="19"/>
  <c r="H21" i="18"/>
  <c r="G18" i="17" l="1"/>
  <c r="D18" i="20"/>
  <c r="D18" i="21"/>
  <c r="D18" i="17"/>
  <c r="H9" i="22"/>
  <c r="E9" i="22"/>
  <c r="F9" i="22"/>
  <c r="A2" i="19"/>
  <c r="A2" i="18"/>
  <c r="A2" i="24"/>
  <c r="A2" i="16"/>
  <c r="H9" i="14"/>
  <c r="F9" i="14"/>
  <c r="E9" i="14"/>
  <c r="H9" i="17"/>
  <c r="F9" i="17"/>
  <c r="E9" i="17"/>
  <c r="H9" i="20"/>
  <c r="F9" i="20"/>
  <c r="E9" i="20"/>
  <c r="H9" i="21"/>
  <c r="F9" i="21"/>
  <c r="E9" i="21"/>
  <c r="H9" i="3"/>
  <c r="F19" i="21"/>
  <c r="F18" i="21"/>
  <c r="H16" i="20"/>
  <c r="F18" i="20"/>
  <c r="H18" i="17"/>
  <c r="F18" i="17"/>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H14" i="3"/>
  <c r="F12" i="3"/>
  <c r="F13" i="3"/>
  <c r="F16" i="3"/>
  <c r="H13" i="3"/>
  <c r="F14" i="3"/>
  <c r="H16" i="3"/>
  <c r="D12" i="22" l="1"/>
  <c r="D15" i="22"/>
  <c r="H22" i="16"/>
  <c r="G15" i="3" s="1"/>
  <c r="F22" i="16"/>
  <c r="D15" i="3" s="1"/>
  <c r="F15" i="22"/>
  <c r="F15" i="3"/>
  <c r="H12" i="22"/>
  <c r="H15" i="3"/>
  <c r="F22" i="20" l="1"/>
  <c r="D11" i="3" s="1"/>
  <c r="F11" i="3"/>
  <c r="F12" i="22"/>
  <c r="H15" i="22"/>
  <c r="D14" i="22" l="1"/>
  <c r="H22" i="17"/>
  <c r="G12" i="3" s="1"/>
  <c r="F14" i="22"/>
  <c r="H12" i="3"/>
  <c r="F22" i="21" l="1"/>
  <c r="D10" i="3" s="1"/>
  <c r="H14" i="14"/>
  <c r="H14" i="22"/>
  <c r="H19" i="21"/>
  <c r="H18" i="20"/>
  <c r="F14" i="14"/>
  <c r="F10" i="3"/>
  <c r="D12" i="14" l="1"/>
  <c r="D11" i="14"/>
  <c r="D10" i="14"/>
  <c r="D13" i="22"/>
  <c r="G20" i="20"/>
  <c r="G18" i="21"/>
  <c r="F12" i="14"/>
  <c r="F11" i="14"/>
  <c r="F10" i="14"/>
  <c r="F13" i="22"/>
  <c r="H20" i="20"/>
  <c r="H18" i="21"/>
  <c r="D13" i="14" l="1"/>
  <c r="H22" i="21"/>
  <c r="G10" i="3" s="1"/>
  <c r="H22" i="20"/>
  <c r="G11" i="3" s="1"/>
  <c r="H13" i="22"/>
  <c r="F13" i="14"/>
  <c r="H10" i="3"/>
  <c r="H11" i="3"/>
  <c r="G12" i="14" l="1"/>
  <c r="G11" i="14"/>
  <c r="G10" i="14"/>
  <c r="F22" i="14"/>
  <c r="D17" i="3" s="1"/>
  <c r="H11" i="14"/>
  <c r="F17" i="3"/>
  <c r="H12" i="14"/>
  <c r="H10" i="14"/>
  <c r="G13" i="14" l="1"/>
  <c r="F22" i="3"/>
  <c r="H13" i="14"/>
  <c r="D18" i="22" l="1"/>
  <c r="D17" i="22"/>
  <c r="H22" i="14"/>
  <c r="G17" i="3" s="1"/>
  <c r="H18" i="22"/>
  <c r="F17" i="22"/>
  <c r="H17" i="3"/>
  <c r="H22" i="3" l="1"/>
  <c r="F18" i="22"/>
  <c r="H17"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3C0A49C6-EF8F-4136-9909-75BC49DD634A}">
      <text>
        <r>
          <rPr>
            <sz val="9"/>
            <color indexed="81"/>
            <rFont val="Tahoma"/>
            <family val="2"/>
          </rPr>
          <t>PV Benchmark Range:     $1172 - $1461            PV+ESS Range:          $1728 - $2365</t>
        </r>
      </text>
    </comment>
    <comment ref="H22" authorId="1" shapeId="0" xr:uid="{6ABF9E68-6D20-4AAA-A5D4-77DD351243B8}">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1CA4ED0A-7066-4E07-8CA7-730D15C62F4A}">
      <text>
        <r>
          <rPr>
            <sz val="9"/>
            <color indexed="81"/>
            <rFont val="Tahoma"/>
            <family val="2"/>
          </rPr>
          <t>Benchmark Range:     $211 - $289</t>
        </r>
      </text>
    </comment>
    <comment ref="H22" authorId="1" shapeId="0" xr:uid="{54C45248-B7AE-42FB-9871-AB34BDA1C7E4}">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505AE0DE-168E-43B7-A188-3FB7ADDC802E}">
      <text>
        <r>
          <rPr>
            <sz val="9"/>
            <color indexed="81"/>
            <rFont val="Tahoma"/>
            <family val="2"/>
          </rPr>
          <t>Benchmark Range:     $35 - $104</t>
        </r>
      </text>
    </comment>
    <comment ref="H22" authorId="1" shapeId="0" xr:uid="{D7F91DAE-501F-495F-94F2-CA5AD9EF3065}">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E5A6E45D-C80E-41B6-ABCB-E2BC4BAA5F5C}">
      <text>
        <r>
          <rPr>
            <sz val="9"/>
            <color indexed="81"/>
            <rFont val="Tahoma"/>
            <family val="2"/>
          </rPr>
          <t>Benchmark Range:     $148 - $272</t>
        </r>
      </text>
    </comment>
    <comment ref="H22" authorId="1" shapeId="0" xr:uid="{A427EC2B-00DE-4B90-A4D4-2A42DC79EBEC}">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D83E2405-E73A-4441-A2B4-F3752550DD98}">
      <text>
        <r>
          <rPr>
            <sz val="9"/>
            <color indexed="81"/>
            <rFont val="Tahoma"/>
            <family val="2"/>
          </rPr>
          <t>PV Benchmark Range:     $28 - $47            PV+ESS Range:          $30 - $49</t>
        </r>
      </text>
    </comment>
    <comment ref="H22" authorId="1" shapeId="0" xr:uid="{EAE46D15-A318-4988-A8D3-CE8AD2224424}">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532DBD31-ACF4-43DB-A64D-2EADAFF3331A}">
      <text>
        <r>
          <rPr>
            <sz val="9"/>
            <color indexed="81"/>
            <rFont val="Tahoma"/>
            <family val="2"/>
          </rPr>
          <t>PV Benchmark Range:     $245 - $245            PV+ESS Range:          $245 - $245</t>
        </r>
      </text>
    </comment>
    <comment ref="H22" authorId="1" shapeId="0" xr:uid="{5BAE0022-5C5B-453E-82E6-06BDF99EB64E}">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FD019243-596D-481A-B274-480C41AD7D32}">
      <text>
        <r>
          <rPr>
            <sz val="9"/>
            <color indexed="81"/>
            <rFont val="Tahoma"/>
            <family val="2"/>
          </rPr>
          <t>PV Benchmark Range:     $55 - $97            PV+ESS Range:          $88 - $130</t>
        </r>
      </text>
    </comment>
    <comment ref="H22" authorId="1" shapeId="0" xr:uid="{DE5D41B7-73C2-4B14-A120-765FED4CFFDE}">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6E8FE89B-7D4E-4E58-B1ED-0832DB68239E}">
      <text>
        <r>
          <rPr>
            <sz val="9"/>
            <color indexed="81"/>
            <rFont val="Tahoma"/>
            <family val="2"/>
          </rPr>
          <t>PV Benchmark Range:     $148 - $165            PV+ESS Range:          $148 - $165</t>
        </r>
      </text>
    </comment>
    <comment ref="H22" authorId="1" shapeId="0" xr:uid="{30DDE97B-E86D-42C8-9608-7F913CB1A3E6}">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B66DBEFC-0E12-49C1-83A3-3653BEB00A10}">
      <text>
        <r>
          <rPr>
            <sz val="9"/>
            <color indexed="81"/>
            <rFont val="Tahoma"/>
            <family val="2"/>
          </rPr>
          <t>PV Benchmark Range:     $189 - $236            PV+ESS Range:          $276 - $381</t>
        </r>
      </text>
    </comment>
    <comment ref="H22" authorId="1" shapeId="0" xr:uid="{9CDB5104-A60F-49AC-8C99-D0DCB46BC7E3}">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DB24E2A3-8C1C-44EB-8611-08F7F92E3CD3}">
      <text>
        <r>
          <rPr>
            <sz val="9"/>
            <color indexed="81"/>
            <rFont val="Tahoma"/>
            <family val="2"/>
          </rPr>
          <t>PV Benchmark Range:     $17 - $26            PV+ESS Range:          $35 - $57</t>
        </r>
      </text>
    </comment>
    <comment ref="H22" authorId="1" shapeId="0" xr:uid="{0EA3A68D-727B-47D1-82A4-47194EEE5D00}">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<sst xmlns="http://schemas.openxmlformats.org/spreadsheetml/2006/main" count="697" uniqueCount="320">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</sst>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236.20794136484605</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155.94862347906755</c:v>
                </c:pt>
                <c:pt idx="1">
                  <c:v>158.13007158348023</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493.98787146827237</c:v>
                </c:pt>
                <c:pt idx="1">
                  <c:v>513.89237146827236</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1562.9293654469661</c:v>
                </c:pt>
                <c:pt idx="1">
                  <c:v>1570.4293654469661</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437.56547806574508</c:v>
                </c:pt>
                <c:pt idx="1">
                  <c:v>466.74500546701245</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1.5594862347906755</c:v>
                </c:pt>
                <c:pt idx="1">
                  <c:v>1.5594862347906755</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0.23620794136484605</c:v>
                </c:pt>
                <c:pt idx="1">
                  <c:v>0.23620794136484605</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6.2319644866570938</c:v>
                </c:pt>
                <c:pt idx="1">
                  <c:v>6.2319644866570938</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7.7899556083213666</c:v>
                </c:pt>
                <c:pt idx="1">
                  <c:v>7.7899556083213666</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102.51624980700937</c:v>
                </c:pt>
                <c:pt idx="1">
                  <c:v>102.51624980700937</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11" workbookViewId="0">
      <selection activeCell="C3" sqref="C3"/>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86.36</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236.20794136484605</v>
      </c>
      <c r="E10" s="30">
        <v>1</v>
      </c>
      <c r="F10" s="7">
        <f t="shared" ref="F10:F21" si="0">E10*D10*includerow(I10,IncludeESS,IncludeIndirect)</f>
        <v>236.20794136484605</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31.18972469581351</v>
      </c>
      <c r="E13" s="30">
        <f>1/ModuleEfficiency</f>
        <v>5</v>
      </c>
      <c r="F13" s="7">
        <f t="shared" si="0"/>
        <v>155.94862347906755</v>
      </c>
      <c r="G13" s="49">
        <f>SBOSMMP</f>
        <v>31.626014316696047</v>
      </c>
      <c r="H13" s="7">
        <f t="shared" si="1"/>
        <v>158.13007158348023</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98.797574293654478</v>
      </c>
      <c r="E15" s="30">
        <f>1/ModuleEfficiency</f>
        <v>5</v>
      </c>
      <c r="F15" s="7">
        <f t="shared" si="0"/>
        <v>493.98787146827237</v>
      </c>
      <c r="G15" s="49">
        <f>FieldworkMMP</f>
        <v>102.77847429365448</v>
      </c>
      <c r="H15" s="7">
        <f t="shared" si="1"/>
        <v>513.89237146827236</v>
      </c>
      <c r="I15" s="37"/>
      <c r="J15" s="2"/>
      <c r="K15"/>
      <c r="L15"/>
      <c r="M15"/>
      <c r="N15"/>
      <c r="O15"/>
      <c r="P15"/>
      <c r="Q15"/>
      <c r="R15"/>
      <c r="S15"/>
      <c r="T15"/>
    </row>
    <row r="16" spans="1:20" ht="18" customHeight="1">
      <c r="A16" s="13" t="s">
        <v>41</v>
      </c>
      <c r="B16" s="34" t="s">
        <v>82</v>
      </c>
      <c r="C16" s="24" t="str">
        <f>OfficeworkUnit</f>
        <v>kWdc</v>
      </c>
      <c r="D16" s="49">
        <f>OfficeworkMSP</f>
        <v>1562.9293654469661</v>
      </c>
      <c r="E16" s="30">
        <v>1</v>
      </c>
      <c r="F16" s="7">
        <f t="shared" si="0"/>
        <v>1562.9293654469661</v>
      </c>
      <c r="G16" s="49">
        <f>OfficeworkMMP</f>
        <v>1570.4293654469661</v>
      </c>
      <c r="H16" s="7">
        <f t="shared" si="1"/>
        <v>1570.4293654469661</v>
      </c>
      <c r="I16" s="37" t="s">
        <v>83</v>
      </c>
      <c r="J16" s="2"/>
      <c r="K16"/>
      <c r="L16"/>
      <c r="M16"/>
      <c r="N16"/>
      <c r="O16"/>
      <c r="P16"/>
      <c r="Q16"/>
      <c r="R16"/>
      <c r="S16"/>
      <c r="T16"/>
    </row>
    <row r="17" spans="1:20" ht="18" customHeight="1">
      <c r="A17" s="13" t="s">
        <v>11</v>
      </c>
      <c r="B17" s="65" t="s">
        <v>84</v>
      </c>
      <c r="C17" s="24" t="str">
        <f>OtherUnit</f>
        <v>kWdc</v>
      </c>
      <c r="D17" s="49">
        <f>OtherMSP</f>
        <v>437.56547806574508</v>
      </c>
      <c r="E17" s="30">
        <v>1</v>
      </c>
      <c r="F17" s="7">
        <f t="shared" si="0"/>
        <v>437.56547806574508</v>
      </c>
      <c r="G17" s="49">
        <f>OtherMMP</f>
        <v>466.74500546701245</v>
      </c>
      <c r="H17" s="7">
        <f t="shared" si="1"/>
        <v>466.74500546701245</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3115.9822433285467</v>
      </c>
      <c r="G22" s="15" t="s">
        <v>61</v>
      </c>
      <c r="H22" s="8">
        <f>SUM(H10:H21)</f>
        <v>3294.1019234547825</v>
      </c>
      <c r="I22"/>
      <c r="J22"/>
    </row>
  </sheetData>
  <sheetProtection algorithmName="SHA-512" hashValue="jfNCPh58PY44FgH5s5M8G/nDLzSQW50kxpckLtOz5A/KRlQzjpTLyLwsQTlM8imKq6QvSIQw/5fyxa8HSzgvxg==" saltValue="inhHyBX6QSgatakXcbpLaA=="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9.6256815983082884</v>
      </c>
      <c r="F11" s="7">
        <f t="shared" si="0"/>
        <v>14.438522397462432</v>
      </c>
      <c r="G11" s="10"/>
      <c r="H11" s="12">
        <f t="shared" si="1"/>
        <v>14.438522397462432</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1.0598636421832512</v>
      </c>
      <c r="F13" s="7">
        <f t="shared" si="0"/>
        <v>6.6771409457544824</v>
      </c>
      <c r="G13" s="10"/>
      <c r="H13" s="12">
        <f t="shared" si="1"/>
        <v>6.6771409457544824</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13.796672579452265</v>
      </c>
      <c r="E18" s="30">
        <v>1</v>
      </c>
      <c r="F18" s="7">
        <f t="shared" si="0"/>
        <v>13.796672579452265</v>
      </c>
      <c r="G18" s="75">
        <f>ModuleMarketPrice-SUM(H10:H17,H19:H21)</f>
        <v>98.282608765626634</v>
      </c>
      <c r="H18" s="12">
        <f t="shared" si="1"/>
        <v>98.282608765626634</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236.20794136484605</v>
      </c>
      <c r="G22" s="15" t="s">
        <v>61</v>
      </c>
      <c r="H22" s="8">
        <f>SUM(H10:H21)</f>
        <v>336</v>
      </c>
      <c r="I22"/>
      <c r="J22"/>
    </row>
    <row r="23" spans="1:10">
      <c r="F23" s="11"/>
    </row>
  </sheetData>
  <sheetProtection algorithmName="SHA-512" hashValue="bvO+Z0JBqCF5lqAmqs+pVqCet5qdzS0iJqDEV7HtJR5wnJSICqv/t40ppWgPoDQz/5biB1E+VAkBr3YV68Kgrg==" saltValue="go8UuOcrW8eBbcPxNIHAEw=="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fB6QUa/rxfILYp8ES0fuR5bdZ3ffuS/mbttebAsXqTzWeUzMO0wUKKKLGkPjSxB++rYd0unyDI298bKLW5OdWg==" saltValue="476pVJafaxBk4Xf3VPy8GA=="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AC5c9+M3CISCa4umMo12q1fv5CRrpDCEjN0z+op/6WD0x3c2erbTE3+wloSkLyIPEHKakCF48aco7IjG6WthTg==" saltValue="wkUd5l88JPAVAhaGysaFwg=="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431.79999999999995</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4.3472831061416833E-2</v>
      </c>
      <c r="F11" s="7">
        <f t="shared" si="0"/>
        <v>8.694566212283366</v>
      </c>
      <c r="G11" s="5"/>
      <c r="H11" s="12">
        <f t="shared" si="1"/>
        <v>8.694566212283366</v>
      </c>
      <c r="I11" s="61"/>
      <c r="J11" s="2" t="s">
        <v>137</v>
      </c>
    </row>
    <row r="12" spans="1:15" ht="18" customHeight="1">
      <c r="A12" s="13" t="s">
        <v>138</v>
      </c>
      <c r="B12" s="6"/>
      <c r="C12" s="28" t="s">
        <v>89</v>
      </c>
      <c r="D12" s="4">
        <v>2.1</v>
      </c>
      <c r="E12" s="30">
        <f>1/ModuleWidth</f>
        <v>0.62150403977625857</v>
      </c>
      <c r="F12" s="7">
        <f t="shared" si="0"/>
        <v>1.3051584835301431</v>
      </c>
      <c r="G12" s="67">
        <f>D12*(1+Tariff301)</f>
        <v>2.625</v>
      </c>
      <c r="H12" s="12">
        <f t="shared" si="1"/>
        <v>1.6314481044126787</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31.18972469581351</v>
      </c>
      <c r="G22" s="15" t="s">
        <v>61</v>
      </c>
      <c r="H22" s="8">
        <f>SUM(H10:H21)</f>
        <v>31.626014316696047</v>
      </c>
      <c r="I22"/>
      <c r="J22"/>
    </row>
    <row r="23" spans="1:10">
      <c r="F23" s="11"/>
    </row>
  </sheetData>
  <sheetProtection algorithmName="SHA-512" hashValue="P2bS8rGSN58Vaw2MAErMhS842IxjrpwqV1zgQg0Hr4/bL87mnry9x9VMXAECguVCWJpe+4zWw7pRQPfnKfyQZA==" saltValue="t/7DOEmztJJ94vaMqcaOPA=="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63.036496350364956</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A6Xk5DmuvdyrgWPZTA0apcE1FaXDMoY6bf57gUJthsRhuO5xV4VDDqEUuej9wdc8yVcnLTqoA9Qo5Ppdmk1lNQ==" saltValue="ix3fS9rWwxbOaiguEbLwSQ=="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431.79999999999995</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16.105604446503012</v>
      </c>
      <c r="G13" s="5"/>
      <c r="H13" s="12">
        <f t="shared" si="1"/>
        <v>16.105604446503012</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23.158869847151461</v>
      </c>
      <c r="G15" s="4"/>
      <c r="H15" s="12">
        <f t="shared" si="1"/>
        <v>23.158869847151461</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98.797574293654478</v>
      </c>
      <c r="G22" s="15" t="s">
        <v>61</v>
      </c>
      <c r="H22" s="8">
        <f>SUM(H10:H21)</f>
        <v>102.77847429365448</v>
      </c>
      <c r="I22"/>
      <c r="J22"/>
    </row>
    <row r="23" spans="1:10">
      <c r="F23" s="11"/>
    </row>
  </sheetData>
  <sheetProtection algorithmName="SHA-512" hashValue="TTKZ+YKoXefeiqfppcgMnLpfq/EUcUtQ3Kt6UGjBmr8bFgFONOh/TA6XDaBHbNkVWm+zQ38bZCr6pVmgCM9htQ==" saltValue="TnHyp+uC9OqhDkYQ8qeE5Q=="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86.36</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835.56044465030106</v>
      </c>
      <c r="G12" s="5"/>
      <c r="H12" s="12">
        <f t="shared" si="1"/>
        <v>835.56044465030106</v>
      </c>
      <c r="I12" s="37"/>
      <c r="J12" s="2" t="s">
        <v>302</v>
      </c>
    </row>
    <row r="13" spans="1:15" ht="18" customHeight="1">
      <c r="A13" s="13" t="s">
        <v>163</v>
      </c>
      <c r="B13" s="6">
        <v>25000</v>
      </c>
      <c r="C13" s="28"/>
      <c r="D13" s="4"/>
      <c r="E13" s="30"/>
      <c r="F13" s="7">
        <f t="shared" si="0"/>
        <v>289.48587308939324</v>
      </c>
      <c r="G13" s="5"/>
      <c r="H13" s="12">
        <f t="shared" si="1"/>
        <v>289.48587308939324</v>
      </c>
      <c r="I13" s="37"/>
      <c r="J13" s="2" t="s">
        <v>164</v>
      </c>
    </row>
    <row r="14" spans="1:15" ht="18" customHeight="1">
      <c r="A14" s="13" t="s">
        <v>303</v>
      </c>
      <c r="B14" s="6">
        <v>30000</v>
      </c>
      <c r="C14" s="28" t="s">
        <v>22</v>
      </c>
      <c r="D14" s="4">
        <v>60</v>
      </c>
      <c r="E14" s="30">
        <v>1</v>
      </c>
      <c r="F14" s="7">
        <f t="shared" si="0"/>
        <v>407.38304770727188</v>
      </c>
      <c r="G14" s="5"/>
      <c r="H14" s="12">
        <f t="shared" si="1"/>
        <v>407.38304770727188</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1562.9293654469661</v>
      </c>
      <c r="G22" s="15" t="s">
        <v>61</v>
      </c>
      <c r="H22" s="8">
        <f>SUM(H10:H21)</f>
        <v>1570.4293654469661</v>
      </c>
      <c r="I22"/>
      <c r="J22"/>
    </row>
    <row r="23" spans="1:10">
      <c r="F23" s="11"/>
    </row>
  </sheetData>
  <sheetProtection algorithmName="SHA-512" hashValue="eKK3HIMqJHAgKAgrTeoKXxg8kHtpBQDgpCiI7RUqX6/AMiVyOyV+Ba0S7PKbIQ8Z0EVSlYTZZJMrHVdN0y4xPA==" saltValue="eClabos6r9LjdP1lTvJRnw=="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36.046972644158672</v>
      </c>
      <c r="E10" s="30">
        <v>1</v>
      </c>
      <c r="F10" s="7">
        <f t="shared" ref="F10:F21" si="0">($B10/$A$3+$E10*$D10)*includerow($I10,IncludeESS,IncludeIndirect)</f>
        <v>36.046972644158672</v>
      </c>
      <c r="G10" s="67">
        <f>B10/$A$3+(SysModuleMMP+SysInverterMMP+SysESSMMP+SysSBOSMMP+SysEBOSMMP)*SalesTaxRate</f>
        <v>43.096040502206819</v>
      </c>
      <c r="H10" s="12">
        <f t="shared" ref="H10:H21" si="1">IF($G10&lt;&gt;0,$G10*$E10*includerow($I10,IncludeESS,IncludeIndirect),($B10/$A$3+$D10*$E10)*includerow($I10,IncludeESS,IncludeIndirect))</f>
        <v>43.096040502206819</v>
      </c>
      <c r="I10" s="37"/>
      <c r="J10" s="2" t="s">
        <v>167</v>
      </c>
    </row>
    <row r="11" spans="1:15" ht="18" customHeight="1">
      <c r="A11" s="13" t="s">
        <v>168</v>
      </c>
      <c r="B11" s="6"/>
      <c r="C11" s="28" t="s">
        <v>22</v>
      </c>
      <c r="D11" s="66">
        <f>(SysModuleMSP+SysInverterMSP+SysESSMSP+SysSBOSMSP+SysEBOSMSP+SysFieldworkMSP+SysOfficeworkMSP)*ContingencyRate</f>
        <v>133.9208382631401</v>
      </c>
      <c r="E11" s="30">
        <v>1</v>
      </c>
      <c r="F11" s="7">
        <f t="shared" si="0"/>
        <v>133.9208382631401</v>
      </c>
      <c r="G11" s="67">
        <f>B11/$A$3+(SysModuleMMP+SysInverterMMP+SysESSMMP+SysSBOSMMP+SysEBOSMMP+SysFieldworkMMP+SysOfficeworkMMP)*ContingencyRate</f>
        <v>141.3678458993885</v>
      </c>
      <c r="H11" s="12">
        <f t="shared" si="1"/>
        <v>141.3678458993885</v>
      </c>
      <c r="I11" s="37"/>
      <c r="J11" s="2" t="s">
        <v>169</v>
      </c>
    </row>
    <row r="12" spans="1:15" ht="18" customHeight="1">
      <c r="A12" s="13" t="s">
        <v>170</v>
      </c>
      <c r="B12" s="6">
        <v>1000000</v>
      </c>
      <c r="C12" s="28" t="s">
        <v>22</v>
      </c>
      <c r="D12" s="66">
        <f>(SysModuleMSP+SysInverterMSP+SysESSMSP+SysSBOSMSP+SysEBOSMSP+SysFieldworkMSP+SysOfficeworkMSP)*OverheadRate</f>
        <v>26.784167652628017</v>
      </c>
      <c r="E12" s="30">
        <v>1</v>
      </c>
      <c r="F12" s="7">
        <f t="shared" si="0"/>
        <v>36.784167652628014</v>
      </c>
      <c r="G12" s="67">
        <f>B12/$A$3+(SysModuleMMP+SysInverterMMP+SysESSMMP+SysSBOSMMP+SysEBOSMMP+SysFieldworkMMP+SysOfficeworkMMP)*OverheadRate</f>
        <v>38.273569179877697</v>
      </c>
      <c r="H12" s="12">
        <f t="shared" si="1"/>
        <v>38.273569179877697</v>
      </c>
      <c r="I12" s="37"/>
      <c r="J12" s="2" t="s">
        <v>171</v>
      </c>
    </row>
    <row r="13" spans="1:15" ht="18" customHeight="1">
      <c r="A13" s="13" t="s">
        <v>107</v>
      </c>
      <c r="B13" s="6"/>
      <c r="C13" s="28" t="s">
        <v>22</v>
      </c>
      <c r="D13" s="66">
        <f>( SysModuleMSP+ SysInverterMSP+ SysESSMSP+ SysSBOSMSP+ SysEBOSMSP+ SysFieldworkMSP+ SysOfficeworkMSP+SUM(F10:F12))* DeveloperProfitMSP</f>
        <v>230.81349950581827</v>
      </c>
      <c r="E13" s="30">
        <v>1</v>
      </c>
      <c r="F13" s="7">
        <f t="shared" si="0"/>
        <v>230.81349950581827</v>
      </c>
      <c r="G13" s="67">
        <f>B13/$A$3+(SysModuleMMP+SysInverterMMP+SysESSMMP+SysSBOSMMP+SysEBOSMMP+SysFieldworkMMP+SysOfficeworkMMP+SUM(H10:H12))*DeveloperProfitMMP</f>
        <v>244.00754988553945</v>
      </c>
      <c r="H13" s="12">
        <f t="shared" si="1"/>
        <v>244.00754988553945</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437.56547806574508</v>
      </c>
      <c r="G22" s="15" t="s">
        <v>61</v>
      </c>
      <c r="H22" s="8">
        <f>SUM(H10:H21)</f>
        <v>466.74500546701245</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cINsPKN1XGHkNnU3DkyG8IAolNUGkD1ALgzxFnSq6q+ac8D71v990+GBBG/KQ/C2UpFZA9FJKk7Smk52Ao60WA==" saltValue="rl9FLQGffsGiD9erF5iTHQ=="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86.36</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155.94862347906755</v>
      </c>
      <c r="E12" s="30">
        <f>PartsLossRate/ModuleEfficiency</f>
        <v>0.01</v>
      </c>
      <c r="F12" s="7">
        <f t="shared" si="0"/>
        <v>1.5594862347906755</v>
      </c>
      <c r="G12" s="5"/>
      <c r="H12" s="12">
        <f t="shared" si="1"/>
        <v>1.5594862347906755</v>
      </c>
      <c r="I12" s="37"/>
      <c r="J12" s="2" t="s">
        <v>178</v>
      </c>
    </row>
    <row r="13" spans="1:15" ht="18" customHeight="1">
      <c r="A13" s="13" t="s">
        <v>179</v>
      </c>
      <c r="B13" s="6"/>
      <c r="C13" s="28" t="s">
        <v>22</v>
      </c>
      <c r="D13" s="66">
        <f>SysModuleMSP</f>
        <v>236.20794136484605</v>
      </c>
      <c r="E13" s="30">
        <f>ModuleLossRate</f>
        <v>1E-3</v>
      </c>
      <c r="F13" s="7">
        <f t="shared" si="0"/>
        <v>0.23620794136484605</v>
      </c>
      <c r="G13" s="5"/>
      <c r="H13" s="12">
        <f t="shared" si="1"/>
        <v>0.23620794136484605</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6.2319644866570938</v>
      </c>
      <c r="E17" s="30">
        <f>IncludeIndirect*1</f>
        <v>1</v>
      </c>
      <c r="F17" s="7">
        <f t="shared" si="0"/>
        <v>6.2319644866570938</v>
      </c>
      <c r="G17" s="4"/>
      <c r="H17" s="12">
        <f t="shared" si="1"/>
        <v>6.2319644866570938</v>
      </c>
      <c r="I17" s="37" t="s">
        <v>83</v>
      </c>
      <c r="J17" s="2" t="s">
        <v>189</v>
      </c>
    </row>
    <row r="18" spans="1:10" ht="18" customHeight="1">
      <c r="A18" s="13" t="s">
        <v>190</v>
      </c>
      <c r="B18" s="6"/>
      <c r="C18" s="29" t="s">
        <v>188</v>
      </c>
      <c r="D18" s="66">
        <f>SystemMSP*InsuranceRate</f>
        <v>7.7899556083213666</v>
      </c>
      <c r="E18" s="30">
        <f>IncludeIndirect*1</f>
        <v>1</v>
      </c>
      <c r="F18" s="7">
        <f t="shared" si="0"/>
        <v>7.7899556083213666</v>
      </c>
      <c r="G18" s="4"/>
      <c r="H18" s="12">
        <f t="shared" si="1"/>
        <v>7.7899556083213666</v>
      </c>
      <c r="I18" s="37" t="s">
        <v>83</v>
      </c>
      <c r="J18" s="2" t="s">
        <v>305</v>
      </c>
    </row>
    <row r="19" spans="1:10" ht="18" customHeight="1">
      <c r="A19" s="13" t="s">
        <v>170</v>
      </c>
      <c r="B19" s="6">
        <v>8853.3033333333296</v>
      </c>
      <c r="C19" s="29"/>
      <c r="D19" s="4"/>
      <c r="E19" s="30"/>
      <c r="F19" s="7">
        <f t="shared" si="0"/>
        <v>102.51624980700937</v>
      </c>
      <c r="G19" s="4"/>
      <c r="H19" s="12">
        <f t="shared" si="1"/>
        <v>102.51624980700937</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129.55991976216131</v>
      </c>
      <c r="G22" s="15" t="s">
        <v>61</v>
      </c>
      <c r="H22" s="8">
        <f>SUM(H10:H21)</f>
        <v>129.55991976216131</v>
      </c>
      <c r="I22"/>
      <c r="J22"/>
    </row>
    <row r="23" spans="1:10">
      <c r="F23" s="11"/>
    </row>
  </sheetData>
  <sheetProtection algorithmName="SHA-512" hashValue="Zxwq9uDNPg1Hn8TET63ZWcSOLlSlCEJjiHTHPDRjS3TVHE9qdIzGj9i0ACEGe5JPSJiEnLlcUdU+DllJ+G3GNg==" saltValue="LD4mw9H047kliJ9kuwUBGg=="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2.9319999999999999</v>
      </c>
      <c r="D10" s="37" t="s">
        <v>89</v>
      </c>
      <c r="E10" s="59" t="str">
        <f t="shared" si="0"/>
        <v>/</v>
      </c>
      <c r="F10" s="37"/>
      <c r="G10" s="58"/>
      <c r="H10" s="2"/>
    </row>
    <row r="11" spans="1:8">
      <c r="A11" s="13" t="s">
        <v>1</v>
      </c>
      <c r="B11" s="13" t="s">
        <v>203</v>
      </c>
      <c r="C11" s="2">
        <v>1.609</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8z/ZL4n4gIyBA3ttroZdQzo6xjUu5M6OfrwSbcQyaqCPttg4UWcom8u2Z1nVh9DWkzsm/Uz/63cq2rOCctYv8Q==" saltValue="WL4iiCyvVkNYqEr0NDfzTA=="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2026-04-06T20:17:53Z</dcterms:modified>
</cp:coreProperties>
</file>