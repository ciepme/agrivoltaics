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8143AE55-5B46-497B-9BED-4005A5C22622}" xr6:coauthVersionLast="47" xr6:coauthVersionMax="47" xr10:uidLastSave="{00000000-0000-0000-0000-000000000000}"/>
  <bookViews>
    <workbookView xWindow="-110" yWindow="-110" windowWidth="38620" windowHeight="2122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C16" i="3" s="1"/>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H17" i="20"/>
  <c r="F19" i="14"/>
  <c r="H21" i="20"/>
  <c r="F21" i="21"/>
  <c r="H20" i="3"/>
  <c r="H13" i="20"/>
  <c r="H21" i="14"/>
  <c r="H11" i="17"/>
  <c r="H12" i="19"/>
  <c r="F10" i="20"/>
  <c r="F10" i="17"/>
  <c r="F16" i="14"/>
  <c r="H19" i="14"/>
  <c r="F10" i="18"/>
  <c r="F10" i="21"/>
  <c r="F18" i="14"/>
  <c r="H17" i="21"/>
  <c r="F14" i="17"/>
  <c r="H21" i="21"/>
  <c r="F12" i="20"/>
  <c r="H10" i="17"/>
  <c r="H10" i="20"/>
  <c r="F21" i="3"/>
  <c r="F21" i="17"/>
  <c r="F18" i="3"/>
  <c r="H10" i="16"/>
  <c r="F17" i="24"/>
  <c r="H11" i="20"/>
  <c r="F15" i="20"/>
  <c r="F17" i="21"/>
  <c r="F20" i="16"/>
  <c r="F21" i="22"/>
  <c r="F13" i="21"/>
  <c r="H13" i="17"/>
  <c r="F20" i="20"/>
  <c r="H14" i="20"/>
  <c r="H21" i="3"/>
  <c r="H11" i="16"/>
  <c r="H16" i="14"/>
  <c r="H14" i="18"/>
  <c r="H12" i="20"/>
  <c r="F20" i="21"/>
  <c r="H19" i="3"/>
  <c r="H15" i="14"/>
  <c r="F20" i="17"/>
  <c r="H10" i="24"/>
  <c r="F15" i="14"/>
  <c r="F12" i="17"/>
  <c r="H18" i="3"/>
  <c r="H13" i="19"/>
  <c r="F11" i="21"/>
  <c r="H20" i="14"/>
  <c r="F21" i="14"/>
  <c r="F15" i="19"/>
  <c r="H12" i="17"/>
  <c r="F17" i="17"/>
  <c r="H17" i="17"/>
  <c r="H20" i="21"/>
  <c r="H17" i="14"/>
  <c r="H21" i="17"/>
  <c r="H18" i="14"/>
  <c r="F17" i="20"/>
  <c r="F11" i="20"/>
  <c r="F20" i="3"/>
  <c r="F11" i="17"/>
  <c r="F19" i="3"/>
  <c r="F20" i="14"/>
  <c r="F17" i="14"/>
  <c r="F12" i="21"/>
  <c r="F21" i="20"/>
  <c r="H20" i="17"/>
  <c r="F13" i="20"/>
  <c r="H11" i="18"/>
  <c r="F19" i="20"/>
  <c r="F19" i="17"/>
  <c r="H16" i="17"/>
  <c r="F16" i="21"/>
  <c r="H15" i="21"/>
  <c r="F14" i="21"/>
  <c r="H15" i="17"/>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6" i="16"/>
  <c r="F20" i="24"/>
  <c r="H19" i="20"/>
  <c r="H21" i="24"/>
  <c r="H17" i="19"/>
  <c r="F21" i="16"/>
  <c r="F13" i="24"/>
  <c r="H19" i="18"/>
  <c r="F14" i="19"/>
  <c r="H13" i="18"/>
  <c r="H15" i="18"/>
  <c r="F15" i="24"/>
  <c r="H20" i="24"/>
  <c r="F12" i="24"/>
  <c r="H21" i="22"/>
  <c r="H19" i="17"/>
  <c r="H16" i="24"/>
  <c r="H14" i="24"/>
  <c r="H10" i="22"/>
  <c r="H21" i="19"/>
  <c r="H21" i="18"/>
  <c r="H18" i="19"/>
  <c r="H15" i="24"/>
  <c r="F16" i="18"/>
  <c r="H18" i="16"/>
  <c r="F20" i="22"/>
  <c r="H18" i="24"/>
  <c r="F17" i="18"/>
  <c r="H15" i="19"/>
  <c r="F21" i="18"/>
  <c r="F15" i="18"/>
  <c r="F10" i="24"/>
  <c r="F20" i="19"/>
  <c r="H16" i="22"/>
  <c r="H16" i="21"/>
  <c r="F19" i="18"/>
  <c r="F12" i="19"/>
  <c r="F18" i="24"/>
  <c r="H12" i="16"/>
  <c r="H19" i="19"/>
  <c r="F16" i="17"/>
  <c r="H14" i="19"/>
  <c r="F19" i="22"/>
  <c r="H16" i="18"/>
  <c r="F20" i="18"/>
  <c r="H13" i="16"/>
  <c r="F18" i="16"/>
  <c r="H17" i="24"/>
  <c r="F11" i="22"/>
  <c r="H21" i="16"/>
  <c r="H11" i="21"/>
  <c r="H20" i="19"/>
  <c r="H14" i="17"/>
  <c r="F15" i="16"/>
  <c r="H10" i="21"/>
  <c r="F11" i="18"/>
  <c r="F19" i="24"/>
  <c r="H16" i="16"/>
  <c r="F13" i="19"/>
  <c r="F11" i="24"/>
  <c r="F21" i="19"/>
  <c r="H17" i="16"/>
  <c r="F14" i="18"/>
  <c r="H16" i="19"/>
  <c r="H11" i="24"/>
  <c r="H11" i="22"/>
  <c r="F19" i="19"/>
  <c r="F14" i="16"/>
  <c r="H12" i="18"/>
  <c r="H14" i="16"/>
  <c r="H13" i="21"/>
  <c r="F16" i="19"/>
  <c r="F16" i="22"/>
  <c r="H20" i="18"/>
  <c r="H19" i="16"/>
  <c r="F13" i="16"/>
  <c r="H20" i="22"/>
  <c r="F13" i="18"/>
  <c r="F10" i="19"/>
  <c r="H15" i="16"/>
  <c r="F14" i="20"/>
  <c r="F14" i="24"/>
  <c r="F12" i="16"/>
  <c r="F11" i="19"/>
  <c r="F13" i="17"/>
  <c r="F17" i="16"/>
  <c r="H10" i="18"/>
  <c r="H20" i="16"/>
  <c r="H15" i="20"/>
  <c r="H19" i="22"/>
  <c r="H12" i="24"/>
  <c r="F18" i="18"/>
  <c r="F15" i="21"/>
  <c r="H12" i="21"/>
  <c r="F17" i="19"/>
  <c r="F10" i="16"/>
  <c r="F15" i="17"/>
  <c r="F16" i="20"/>
  <c r="F12" i="18"/>
  <c r="F18" i="19"/>
  <c r="F10" i="22"/>
  <c r="H17" i="18"/>
  <c r="H11" i="19"/>
  <c r="F11" i="16"/>
  <c r="H13" i="24"/>
  <c r="H14" i="21"/>
  <c r="H19" i="24"/>
  <c r="F21" i="24"/>
  <c r="F19" i="16"/>
  <c r="H18" i="18"/>
  <c r="H10" i="19"/>
  <c r="F16" i="24"/>
  <c r="D18" i="21" l="1"/>
  <c r="D18" i="17"/>
  <c r="D18" i="20"/>
  <c r="G18" i="17"/>
  <c r="H9" i="22"/>
  <c r="E9" i="22"/>
  <c r="F9" i="22"/>
  <c r="A2" i="19"/>
  <c r="A2" i="18"/>
  <c r="A2" i="24"/>
  <c r="A2" i="16"/>
  <c r="H9" i="14"/>
  <c r="F9" i="14"/>
  <c r="E9" i="14"/>
  <c r="H9" i="17"/>
  <c r="F9" i="17"/>
  <c r="E9" i="17"/>
  <c r="H9" i="20"/>
  <c r="F9" i="20"/>
  <c r="E9" i="20"/>
  <c r="H9" i="21"/>
  <c r="F9" i="21"/>
  <c r="E9" i="21"/>
  <c r="H9" i="3"/>
  <c r="F19" i="21"/>
  <c r="H16" i="20"/>
  <c r="F18" i="21"/>
  <c r="F18" i="17"/>
  <c r="F18" i="20"/>
  <c r="H18" i="17"/>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H13" i="3"/>
  <c r="F12" i="3"/>
  <c r="F14" i="3"/>
  <c r="F13" i="3"/>
  <c r="H16" i="3"/>
  <c r="F16" i="3"/>
  <c r="H14" i="3"/>
  <c r="D12" i="22" l="1"/>
  <c r="D15" i="22"/>
  <c r="H22" i="16"/>
  <c r="G15" i="3" s="1"/>
  <c r="F22" i="16"/>
  <c r="D15" i="3" s="1"/>
  <c r="F15" i="3"/>
  <c r="F15" i="22"/>
  <c r="H12" i="22"/>
  <c r="H15" i="3"/>
  <c r="F22" i="20" l="1"/>
  <c r="D11" i="3" s="1"/>
  <c r="H15" i="22"/>
  <c r="F12" i="22"/>
  <c r="F11" i="3"/>
  <c r="D14" i="22" l="1"/>
  <c r="H22" i="17"/>
  <c r="G12" i="3" s="1"/>
  <c r="F14" i="22"/>
  <c r="H12" i="3"/>
  <c r="F22" i="21" l="1"/>
  <c r="D10" i="3" s="1"/>
  <c r="H14" i="14"/>
  <c r="F14" i="14"/>
  <c r="H19" i="21"/>
  <c r="H18" i="20"/>
  <c r="H14" i="22"/>
  <c r="F10" i="3"/>
  <c r="D12" i="14" l="1"/>
  <c r="D11" i="14"/>
  <c r="D10" i="14"/>
  <c r="D13" i="22"/>
  <c r="G20" i="20"/>
  <c r="G18" i="21"/>
  <c r="F12" i="14"/>
  <c r="H18" i="21"/>
  <c r="H13" i="22"/>
  <c r="F11" i="14"/>
  <c r="F10" i="14"/>
  <c r="H20" i="20"/>
  <c r="D13" i="14" l="1"/>
  <c r="H22" i="21"/>
  <c r="G10" i="3" s="1"/>
  <c r="H22" i="20"/>
  <c r="G11" i="3" s="1"/>
  <c r="F13" i="14"/>
  <c r="F13" i="22"/>
  <c r="H10" i="3"/>
  <c r="H11" i="3"/>
  <c r="G12" i="14" l="1"/>
  <c r="G11" i="14"/>
  <c r="G10" i="14"/>
  <c r="F22" i="14"/>
  <c r="D17" i="3" s="1"/>
  <c r="H12" i="14"/>
  <c r="H11" i="14"/>
  <c r="H10" i="14"/>
  <c r="F17" i="3"/>
  <c r="G13" i="14" l="1"/>
  <c r="F22" i="3"/>
  <c r="H13" i="14"/>
  <c r="D18" i="22" l="1"/>
  <c r="D17" i="22"/>
  <c r="H22" i="14"/>
  <c r="G17" i="3" s="1"/>
  <c r="H18" i="22"/>
  <c r="F17" i="22"/>
  <c r="H17" i="3"/>
  <c r="H22" i="3" l="1"/>
  <c r="F18" i="22"/>
  <c r="H17"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163A36AF-6B02-4FD1-9BA4-7D7B80193249}">
      <text>
        <r>
          <rPr>
            <sz val="9"/>
            <color indexed="81"/>
            <rFont val="Tahoma"/>
            <family val="2"/>
          </rPr>
          <t>PV Benchmark Range:     $1172 - $1461            PV+ESS Range:          $1728 - $2365</t>
        </r>
      </text>
    </comment>
    <comment ref="H22" authorId="1" shapeId="0" xr:uid="{ADBD1A80-F643-4050-B9F3-DC85B7C3DA2F}">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1A5FD8C1-D0BE-4326-B444-FF7FA7EBBA9E}">
      <text>
        <r>
          <rPr>
            <sz val="9"/>
            <color indexed="81"/>
            <rFont val="Tahoma"/>
            <family val="2"/>
          </rPr>
          <t>Benchmark Range:     $211 - $289</t>
        </r>
      </text>
    </comment>
    <comment ref="H22" authorId="1" shapeId="0" xr:uid="{98664A76-7EB4-4CBE-A720-A6D2A3E46778}">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A844C54C-A7B7-4890-A3E2-66563C72B713}">
      <text>
        <r>
          <rPr>
            <sz val="9"/>
            <color indexed="81"/>
            <rFont val="Tahoma"/>
            <family val="2"/>
          </rPr>
          <t>Benchmark Range:     $35 - $104</t>
        </r>
      </text>
    </comment>
    <comment ref="H22" authorId="1" shapeId="0" xr:uid="{39114827-EB88-4212-939B-9E631D799263}">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AB7BBCCF-FEEE-4132-A76A-B637F0E1A196}">
      <text>
        <r>
          <rPr>
            <sz val="9"/>
            <color indexed="81"/>
            <rFont val="Tahoma"/>
            <family val="2"/>
          </rPr>
          <t>Benchmark Range:     $148 - $272</t>
        </r>
      </text>
    </comment>
    <comment ref="H22" authorId="1" shapeId="0" xr:uid="{01AE1493-5B6A-4BDA-8420-CA5C998CF5F2}">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E9140C35-EB15-4625-85A2-72B9D2A37F39}">
      <text>
        <r>
          <rPr>
            <sz val="9"/>
            <color indexed="81"/>
            <rFont val="Tahoma"/>
            <family val="2"/>
          </rPr>
          <t>PV Benchmark Range:     $28 - $47            PV+ESS Range:          $30 - $49</t>
        </r>
      </text>
    </comment>
    <comment ref="H22" authorId="1" shapeId="0" xr:uid="{5B250200-36C3-4D90-AF90-21B4896BDC53}">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23BBD7CC-0EF6-411A-A869-F98E533D6D0C}">
      <text>
        <r>
          <rPr>
            <sz val="9"/>
            <color indexed="81"/>
            <rFont val="Tahoma"/>
            <family val="2"/>
          </rPr>
          <t>PV Benchmark Range:     $245 - $245            PV+ESS Range:          $245 - $245</t>
        </r>
      </text>
    </comment>
    <comment ref="H22" authorId="1" shapeId="0" xr:uid="{E768CD36-A856-4F90-BCDE-A864604D5314}">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1E18C23B-DFEE-428B-9929-B1AE52FEF0A4}">
      <text>
        <r>
          <rPr>
            <sz val="9"/>
            <color indexed="81"/>
            <rFont val="Tahoma"/>
            <family val="2"/>
          </rPr>
          <t>PV Benchmark Range:     $55 - $97            PV+ESS Range:          $88 - $130</t>
        </r>
      </text>
    </comment>
    <comment ref="H22" authorId="1" shapeId="0" xr:uid="{14BC189D-AE83-425E-B466-28744D70D129}">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C66E0803-3E7E-4628-AC99-B3D8E44B4EA1}">
      <text>
        <r>
          <rPr>
            <sz val="9"/>
            <color indexed="81"/>
            <rFont val="Tahoma"/>
            <family val="2"/>
          </rPr>
          <t>PV Benchmark Range:     $148 - $165            PV+ESS Range:          $148 - $165</t>
        </r>
      </text>
    </comment>
    <comment ref="H22" authorId="1" shapeId="0" xr:uid="{75E1954C-ECFE-45DF-ABAE-8A9411EBE263}">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0B24214E-363E-4F06-B7AA-4BF5F9891B00}">
      <text>
        <r>
          <rPr>
            <sz val="9"/>
            <color indexed="81"/>
            <rFont val="Tahoma"/>
            <family val="2"/>
          </rPr>
          <t>PV Benchmark Range:     $189 - $236            PV+ESS Range:          $276 - $381</t>
        </r>
      </text>
    </comment>
    <comment ref="H22" authorId="1" shapeId="0" xr:uid="{076EFD00-51A0-4906-9A72-4B273E5416DE}">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B145F445-CDB5-48F2-BB09-4D2DC98CB869}">
      <text>
        <r>
          <rPr>
            <sz val="9"/>
            <color indexed="81"/>
            <rFont val="Tahoma"/>
            <family val="2"/>
          </rPr>
          <t>PV Benchmark Range:     $17 - $26            PV+ESS Range:          $35 - $57</t>
        </r>
      </text>
    </comment>
    <comment ref="H22" authorId="1" shapeId="0" xr:uid="{8C6435BA-EE74-44F0-A03D-CB3C738D9E60}">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<sst xmlns="http://schemas.openxmlformats.org/spreadsheetml/2006/main" count="697" uniqueCount="320">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</sst>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240.94464063258695</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164.15234113320523</c:v>
                </c:pt>
                <c:pt idx="1">
                  <c:v>166.58271362604188</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450.19363203300827</c:v>
                </c:pt>
                <c:pt idx="1">
                  <c:v>470.09813203300831</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1157.4271484537803</c:v>
                </c:pt>
                <c:pt idx="1">
                  <c:v>1164.9271484537803</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375.1917112611801</c:v>
                </c:pt>
                <c:pt idx="1">
                  <c:v>403.44029464148196</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1.6415234113320523</c:v>
                </c:pt>
                <c:pt idx="1">
                  <c:v>1.6415234113320523</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0.24094464063258697</c:v>
                </c:pt>
                <c:pt idx="1">
                  <c:v>0.24094464063258697</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5.2345048740348208</c:v>
                </c:pt>
                <c:pt idx="1">
                  <c:v>5.2345048740348208</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6.5431310925435264</c:v>
                </c:pt>
                <c:pt idx="1">
                  <c:v>6.5431310925435264</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73.795976771970743</c:v>
                </c:pt>
                <c:pt idx="1">
                  <c:v>73.795976771970743</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119.97</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240.94464063258695</v>
      </c>
      <c r="E10" s="30">
        <v>1</v>
      </c>
      <c r="F10" s="7">
        <f t="shared" ref="F10:F21" si="0">E10*D10*includerow(I10,IncludeESS,IncludeIndirect)</f>
        <v>240.94464063258695</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32.830468226641045</v>
      </c>
      <c r="E13" s="30">
        <f>1/ModuleEfficiency</f>
        <v>5</v>
      </c>
      <c r="F13" s="7">
        <f t="shared" si="0"/>
        <v>164.15234113320523</v>
      </c>
      <c r="G13" s="49">
        <f>SBOSMMP</f>
        <v>33.316542725208379</v>
      </c>
      <c r="H13" s="7">
        <f t="shared" si="1"/>
        <v>166.58271362604188</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90.038726406601654</v>
      </c>
      <c r="E15" s="30">
        <f>1/ModuleEfficiency</f>
        <v>5</v>
      </c>
      <c r="F15" s="7">
        <f t="shared" si="0"/>
        <v>450.19363203300827</v>
      </c>
      <c r="G15" s="49">
        <f>FieldworkMMP</f>
        <v>94.01962640660166</v>
      </c>
      <c r="H15" s="7">
        <f t="shared" si="1"/>
        <v>470.09813203300831</v>
      </c>
      <c r="I15" s="37"/>
      <c r="J15" s="2"/>
      <c r="K15"/>
      <c r="L15"/>
      <c r="M15"/>
      <c r="N15"/>
      <c r="O15"/>
      <c r="P15"/>
      <c r="Q15"/>
      <c r="R15"/>
      <c r="S15"/>
      <c r="T15"/>
    </row>
    <row r="16" spans="1:20" ht="18" customHeight="1">
      <c r="A16" s="13" t="s">
        <v>41</v>
      </c>
      <c r="B16" s="34" t="s">
        <v>82</v>
      </c>
      <c r="C16" s="24" t="str">
        <f>OfficeworkUnit</f>
        <v>kWdc</v>
      </c>
      <c r="D16" s="49">
        <f>OfficeworkMSP</f>
        <v>1157.4271484537803</v>
      </c>
      <c r="E16" s="30">
        <v>1</v>
      </c>
      <c r="F16" s="7">
        <f t="shared" si="0"/>
        <v>1157.4271484537803</v>
      </c>
      <c r="G16" s="49">
        <f>OfficeworkMMP</f>
        <v>1164.9271484537803</v>
      </c>
      <c r="H16" s="7">
        <f t="shared" si="1"/>
        <v>1164.9271484537803</v>
      </c>
      <c r="I16" s="37" t="s">
        <v>83</v>
      </c>
      <c r="J16" s="2"/>
      <c r="K16"/>
      <c r="L16"/>
      <c r="M16"/>
      <c r="N16"/>
      <c r="O16"/>
      <c r="P16"/>
      <c r="Q16"/>
      <c r="R16"/>
      <c r="S16"/>
      <c r="T16"/>
    </row>
    <row r="17" spans="1:20" ht="18" customHeight="1">
      <c r="A17" s="13" t="s">
        <v>11</v>
      </c>
      <c r="B17" s="65" t="s">
        <v>84</v>
      </c>
      <c r="C17" s="24" t="str">
        <f>OtherUnit</f>
        <v>kWdc</v>
      </c>
      <c r="D17" s="49">
        <f>OtherMSP</f>
        <v>375.1917112611801</v>
      </c>
      <c r="E17" s="30">
        <v>1</v>
      </c>
      <c r="F17" s="7">
        <f t="shared" si="0"/>
        <v>375.1917112611801</v>
      </c>
      <c r="G17" s="49">
        <f>OtherMMP</f>
        <v>403.44029464148196</v>
      </c>
      <c r="H17" s="7">
        <f t="shared" si="1"/>
        <v>403.44029464148196</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2617.2524370174106</v>
      </c>
      <c r="G22" s="15" t="s">
        <v>61</v>
      </c>
      <c r="H22" s="8">
        <f>SUM(H10:H21)</f>
        <v>2789.9533982433641</v>
      </c>
      <c r="I22"/>
      <c r="J22"/>
    </row>
  </sheetData>
  <sheetProtection algorithmName="SHA-512" hashValue="NKxG64s1WT3c8Qz3mj3O/KAhfxFKc9yWgfLqQ1jwGjgfuriLSWrWbm+29wnR8h6+IMjFw10ruzmfTm6l5ooUHQ==" saltValue="gAFwMQ8WE/bDemCSqmwwTA=="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11.139466923388039</v>
      </c>
      <c r="F11" s="7">
        <f t="shared" si="0"/>
        <v>16.709200385082056</v>
      </c>
      <c r="G11" s="10"/>
      <c r="H11" s="12">
        <f t="shared" si="1"/>
        <v>16.709200385082056</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1.4241200362296138</v>
      </c>
      <c r="F13" s="7">
        <f t="shared" si="0"/>
        <v>8.971956228246567</v>
      </c>
      <c r="G13" s="10"/>
      <c r="H13" s="12">
        <f t="shared" si="1"/>
        <v>8.971956228246567</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13.967878577081455</v>
      </c>
      <c r="E18" s="30">
        <v>1</v>
      </c>
      <c r="F18" s="7">
        <f t="shared" si="0"/>
        <v>13.967878577081455</v>
      </c>
      <c r="G18" s="75">
        <f>ModuleMarketPrice-SUM(H10:H17,H19:H21)</f>
        <v>93.717115495514918</v>
      </c>
      <c r="H18" s="12">
        <f t="shared" si="1"/>
        <v>93.717115495514918</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240.94464063258695</v>
      </c>
      <c r="G22" s="15" t="s">
        <v>61</v>
      </c>
      <c r="H22" s="8">
        <f>SUM(H10:H21)</f>
        <v>336</v>
      </c>
      <c r="I22"/>
      <c r="J22"/>
    </row>
    <row r="23" spans="1:10">
      <c r="F23" s="11"/>
    </row>
  </sheetData>
  <sheetProtection algorithmName="SHA-512" hashValue="0eRstsDw0T6ZUSiaorUVtF9ciuNQl7b/cz18CspVLZVWA3hdaJfwMj3gGVrfd2SYb04daG3+AGZIobkJrmnWhQ==" saltValue="o5TXhPwOqweb3d1oUK48Tg=="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b+GFhrC1azP1vbmBd2JpFFzLP9OY6l7dgXDyxawqDjj329rinyjsjFn1OrD8wI2TnUNdLmvHF/Mozcw7+h7VOA==" saltValue="kl4rzxDgITY81Tb5tsurzw=="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UAAECymwd+haLLVRLiKuriOrcOBAPfjsCpL65J+ggHvmRY7yaUeDrojr8O5BJtfKY/N8VJa7oAFF1Xz1T8XJ1g==" saltValue="Bm50w0aniNwyvaTkr/dpGQ=="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599.84999999999991</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5.0680851161858512E-2</v>
      </c>
      <c r="F11" s="7">
        <f t="shared" si="0"/>
        <v>10.136170232371702</v>
      </c>
      <c r="G11" s="5"/>
      <c r="H11" s="12">
        <f t="shared" si="1"/>
        <v>10.136170232371702</v>
      </c>
      <c r="I11" s="61"/>
      <c r="J11" s="2" t="s">
        <v>137</v>
      </c>
    </row>
    <row r="12" spans="1:15" ht="18" customHeight="1">
      <c r="A12" s="13" t="s">
        <v>138</v>
      </c>
      <c r="B12" s="6"/>
      <c r="C12" s="28" t="s">
        <v>89</v>
      </c>
      <c r="D12" s="4">
        <v>2.1</v>
      </c>
      <c r="E12" s="30">
        <f>1/ModuleWidth</f>
        <v>0.71633237822349571</v>
      </c>
      <c r="F12" s="7">
        <f t="shared" si="0"/>
        <v>1.5042979942693411</v>
      </c>
      <c r="G12" s="67">
        <f>D12*(1+Tariff301)</f>
        <v>2.625</v>
      </c>
      <c r="H12" s="12">
        <f t="shared" si="1"/>
        <v>1.8803724928366763</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32.830468226641045</v>
      </c>
      <c r="G22" s="15" t="s">
        <v>61</v>
      </c>
      <c r="H22" s="8">
        <f>SUM(H10:H21)</f>
        <v>33.316542725208379</v>
      </c>
      <c r="I22"/>
      <c r="J22"/>
    </row>
    <row r="23" spans="1:10">
      <c r="F23" s="11"/>
    </row>
  </sheetData>
  <sheetProtection algorithmName="SHA-512" hashValue="rIyOWaQQcUcpnDZGyx4m0k6cXsobrvmB95zPlEV5hHAHMMbDUm9ndkvA+DvotwKurnEN9t7BM4ZyZMtRrMB1tA==" saltValue="reWdvI/CJu2aM+vzQkTjzg=="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87.569343065693417</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H31ELKahfJmMt26GK06z8T/E+NQAYn5ge8+OiTty9O2rw9CBPcvbprPJS0OF+KX0i82ZzWhfv4HFJQet8DKG+A==" saltValue="aZxn6qkODWCQEya8pkXJbA=="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599.84999999999991</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13.83479203134117</v>
      </c>
      <c r="G13" s="5"/>
      <c r="H13" s="12">
        <f t="shared" si="1"/>
        <v>13.83479203134117</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16.670834375260483</v>
      </c>
      <c r="G15" s="4"/>
      <c r="H15" s="12">
        <f t="shared" si="1"/>
        <v>16.670834375260483</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90.038726406601654</v>
      </c>
      <c r="G22" s="15" t="s">
        <v>61</v>
      </c>
      <c r="H22" s="8">
        <f>SUM(H10:H21)</f>
        <v>94.01962640660166</v>
      </c>
      <c r="I22"/>
      <c r="J22"/>
    </row>
    <row r="23" spans="1:10">
      <c r="F23" s="11"/>
    </row>
  </sheetData>
  <sheetProtection algorithmName="SHA-512" hashValue="cvQlV3tkVjMVoVY08y2XTcw2TR7LiWJcI3RRlsmSIImf4a39qTs3nfmYnSv9vY95hR4eaRKzSmMAlvs9f0nr3w==" saltValue="CYoaMfSchTjEvw4zwtlI1g=="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119.97</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608.47920313411691</v>
      </c>
      <c r="G12" s="5"/>
      <c r="H12" s="12">
        <f t="shared" si="1"/>
        <v>608.47920313411691</v>
      </c>
      <c r="I12" s="37"/>
      <c r="J12" s="2" t="s">
        <v>302</v>
      </c>
    </row>
    <row r="13" spans="1:15" ht="18" customHeight="1">
      <c r="A13" s="13" t="s">
        <v>163</v>
      </c>
      <c r="B13" s="6">
        <v>25000</v>
      </c>
      <c r="C13" s="28"/>
      <c r="D13" s="4"/>
      <c r="E13" s="30"/>
      <c r="F13" s="7">
        <f t="shared" si="0"/>
        <v>208.38542969075601</v>
      </c>
      <c r="G13" s="5"/>
      <c r="H13" s="12">
        <f t="shared" si="1"/>
        <v>208.38542969075601</v>
      </c>
      <c r="I13" s="37"/>
      <c r="J13" s="2" t="s">
        <v>164</v>
      </c>
    </row>
    <row r="14" spans="1:15" ht="18" customHeight="1">
      <c r="A14" s="13" t="s">
        <v>303</v>
      </c>
      <c r="B14" s="6">
        <v>30000</v>
      </c>
      <c r="C14" s="28" t="s">
        <v>22</v>
      </c>
      <c r="D14" s="4">
        <v>60</v>
      </c>
      <c r="E14" s="30">
        <v>1</v>
      </c>
      <c r="F14" s="7">
        <f t="shared" si="0"/>
        <v>310.06251562890725</v>
      </c>
      <c r="G14" s="5"/>
      <c r="H14" s="12">
        <f t="shared" si="1"/>
        <v>310.06251562890725</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1157.4271484537803</v>
      </c>
      <c r="G22" s="15" t="s">
        <v>61</v>
      </c>
      <c r="H22" s="8">
        <f>SUM(H10:H21)</f>
        <v>1164.9271484537803</v>
      </c>
      <c r="I22"/>
      <c r="J22"/>
    </row>
    <row r="23" spans="1:10">
      <c r="F23" s="11"/>
    </row>
  </sheetData>
  <sheetProtection algorithmName="SHA-512" hashValue="Y7QudAAZNNn+I8mNhamT2sicLPbcCYRsnBT8sWelY0vpxMa4NpqiKbrmj4kV/UGA2iEcBJ3IbxG58dDpZlxgSA==" saltValue="UPwJISJeplPbcgRLt8rIkg=="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36.797516825627625</v>
      </c>
      <c r="E10" s="30">
        <v>1</v>
      </c>
      <c r="F10" s="7">
        <f t="shared" ref="F10:F21" si="0">($B10/$A$3+$E10*$D10)*includerow($I10,IncludeESS,IncludeIndirect)</f>
        <v>36.797516825627625</v>
      </c>
      <c r="G10" s="67">
        <f>B10/$A$3+(SysModuleMMP+SysInverterMMP+SysESSMMP+SysSBOSMMP+SysEBOSMMP)*SalesTaxRate</f>
        <v>43.586293740675401</v>
      </c>
      <c r="H10" s="12">
        <f t="shared" ref="H10:H21" si="1">IF($G10&lt;&gt;0,$G10*$E10*includerow($I10,IncludeESS,IncludeIndirect),($B10/$A$3+$D10*$E10)*includerow($I10,IncludeESS,IncludeIndirect))</f>
        <v>43.586293740675401</v>
      </c>
      <c r="I10" s="37"/>
      <c r="J10" s="2" t="s">
        <v>167</v>
      </c>
    </row>
    <row r="11" spans="1:15" ht="18" customHeight="1">
      <c r="A11" s="13" t="s">
        <v>168</v>
      </c>
      <c r="B11" s="6"/>
      <c r="C11" s="28" t="s">
        <v>22</v>
      </c>
      <c r="D11" s="66">
        <f>(SysModuleMSP+SysInverterMSP+SysESSMSP+SysSBOSMSP+SysEBOSMSP+SysFieldworkMSP+SysOfficeworkMSP)*ContingencyRate</f>
        <v>112.10303628781153</v>
      </c>
      <c r="E11" s="30">
        <v>1</v>
      </c>
      <c r="F11" s="7">
        <f t="shared" si="0"/>
        <v>112.10303628781153</v>
      </c>
      <c r="G11" s="67">
        <f>B11/$A$3+(SysModuleMMP+SysInverterMMP+SysESSMMP+SysSBOSMMP+SysEBOSMMP+SysFieldworkMMP+SysOfficeworkMMP)*ContingencyRate</f>
        <v>119.3256551800941</v>
      </c>
      <c r="H11" s="12">
        <f t="shared" si="1"/>
        <v>119.3256551800941</v>
      </c>
      <c r="I11" s="37"/>
      <c r="J11" s="2" t="s">
        <v>169</v>
      </c>
    </row>
    <row r="12" spans="1:15" ht="18" customHeight="1">
      <c r="A12" s="13" t="s">
        <v>170</v>
      </c>
      <c r="B12" s="6">
        <v>1000000</v>
      </c>
      <c r="C12" s="28" t="s">
        <v>22</v>
      </c>
      <c r="D12" s="66">
        <f>(SysModuleMSP+SysInverterMSP+SysESSMSP+SysSBOSMSP+SysEBOSMSP+SysFieldworkMSP+SysOfficeworkMSP)*OverheadRate</f>
        <v>22.420607257562306</v>
      </c>
      <c r="E12" s="30">
        <v>1</v>
      </c>
      <c r="F12" s="7">
        <f t="shared" si="0"/>
        <v>32.42060725756231</v>
      </c>
      <c r="G12" s="67">
        <f>B12/$A$3+(SysModuleMMP+SysInverterMMP+SysESSMMP+SysSBOSMMP+SysEBOSMMP+SysFieldworkMMP+SysOfficeworkMMP)*OverheadRate</f>
        <v>33.865131036018823</v>
      </c>
      <c r="H12" s="12">
        <f t="shared" si="1"/>
        <v>33.865131036018823</v>
      </c>
      <c r="I12" s="37"/>
      <c r="J12" s="2" t="s">
        <v>171</v>
      </c>
    </row>
    <row r="13" spans="1:15" ht="18" customHeight="1">
      <c r="A13" s="13" t="s">
        <v>107</v>
      </c>
      <c r="B13" s="6"/>
      <c r="C13" s="28" t="s">
        <v>22</v>
      </c>
      <c r="D13" s="66">
        <f>( SysModuleMSP+ SysInverterMSP+ SysESSMSP+ SysSBOSMSP+ SysEBOSMSP+ SysFieldworkMSP+ SysOfficeworkMSP+SUM(F10:F12))* DeveloperProfitMSP</f>
        <v>193.87055089017858</v>
      </c>
      <c r="E13" s="30">
        <v>1</v>
      </c>
      <c r="F13" s="7">
        <f t="shared" si="0"/>
        <v>193.87055089017858</v>
      </c>
      <c r="G13" s="67">
        <f>B13/$A$3+(SysModuleMMP+SysInverterMMP+SysESSMMP+SysSBOSMMP+SysEBOSMMP+SysFieldworkMMP+SysOfficeworkMMP+SUM(H10:H12))*DeveloperProfitMMP</f>
        <v>206.66321468469363</v>
      </c>
      <c r="H13" s="12">
        <f t="shared" si="1"/>
        <v>206.66321468469363</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375.1917112611801</v>
      </c>
      <c r="G22" s="15" t="s">
        <v>61</v>
      </c>
      <c r="H22" s="8">
        <f>SUM(H10:H21)</f>
        <v>403.44029464148196</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7rYcAc9c861UKUpcil4uwVqLoZ3BfzRU5jak8rFYc4dEHhO1EUv24TLGyI2LBqpj6HiN41PJQCClSG7dGf87BA==" saltValue="iKAjbEsyI2eD3CQ1a4pZdQ=="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119.97</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164.15234113320523</v>
      </c>
      <c r="E12" s="30">
        <f>PartsLossRate/ModuleEfficiency</f>
        <v>0.01</v>
      </c>
      <c r="F12" s="7">
        <f t="shared" si="0"/>
        <v>1.6415234113320523</v>
      </c>
      <c r="G12" s="5"/>
      <c r="H12" s="12">
        <f t="shared" si="1"/>
        <v>1.6415234113320523</v>
      </c>
      <c r="I12" s="37"/>
      <c r="J12" s="2" t="s">
        <v>178</v>
      </c>
    </row>
    <row r="13" spans="1:15" ht="18" customHeight="1">
      <c r="A13" s="13" t="s">
        <v>179</v>
      </c>
      <c r="B13" s="6"/>
      <c r="C13" s="28" t="s">
        <v>22</v>
      </c>
      <c r="D13" s="66">
        <f>SysModuleMSP</f>
        <v>240.94464063258695</v>
      </c>
      <c r="E13" s="30">
        <f>ModuleLossRate</f>
        <v>1E-3</v>
      </c>
      <c r="F13" s="7">
        <f t="shared" si="0"/>
        <v>0.24094464063258697</v>
      </c>
      <c r="G13" s="5"/>
      <c r="H13" s="12">
        <f t="shared" si="1"/>
        <v>0.24094464063258697</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5.2345048740348208</v>
      </c>
      <c r="E17" s="30">
        <f>IncludeIndirect*1</f>
        <v>1</v>
      </c>
      <c r="F17" s="7">
        <f t="shared" si="0"/>
        <v>5.2345048740348208</v>
      </c>
      <c r="G17" s="4"/>
      <c r="H17" s="12">
        <f t="shared" si="1"/>
        <v>5.2345048740348208</v>
      </c>
      <c r="I17" s="37" t="s">
        <v>83</v>
      </c>
      <c r="J17" s="2" t="s">
        <v>189</v>
      </c>
    </row>
    <row r="18" spans="1:10" ht="18" customHeight="1">
      <c r="A18" s="13" t="s">
        <v>190</v>
      </c>
      <c r="B18" s="6"/>
      <c r="C18" s="29" t="s">
        <v>188</v>
      </c>
      <c r="D18" s="66">
        <f>SystemMSP*InsuranceRate</f>
        <v>6.5431310925435264</v>
      </c>
      <c r="E18" s="30">
        <f>IncludeIndirect*1</f>
        <v>1</v>
      </c>
      <c r="F18" s="7">
        <f t="shared" si="0"/>
        <v>6.5431310925435264</v>
      </c>
      <c r="G18" s="4"/>
      <c r="H18" s="12">
        <f t="shared" si="1"/>
        <v>6.5431310925435264</v>
      </c>
      <c r="I18" s="37" t="s">
        <v>83</v>
      </c>
      <c r="J18" s="2" t="s">
        <v>305</v>
      </c>
    </row>
    <row r="19" spans="1:10" ht="18" customHeight="1">
      <c r="A19" s="13" t="s">
        <v>170</v>
      </c>
      <c r="B19" s="6">
        <v>8853.3033333333296</v>
      </c>
      <c r="C19" s="29"/>
      <c r="D19" s="4"/>
      <c r="E19" s="30"/>
      <c r="F19" s="7">
        <f t="shared" si="0"/>
        <v>73.795976771970743</v>
      </c>
      <c r="G19" s="4"/>
      <c r="H19" s="12">
        <f t="shared" si="1"/>
        <v>73.795976771970743</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98.682136474531703</v>
      </c>
      <c r="G22" s="15" t="s">
        <v>61</v>
      </c>
      <c r="H22" s="8">
        <f>SUM(H10:H21)</f>
        <v>98.682136474531703</v>
      </c>
      <c r="I22"/>
      <c r="J22"/>
    </row>
    <row r="23" spans="1:10">
      <c r="F23" s="11"/>
    </row>
  </sheetData>
  <sheetProtection algorithmName="SHA-512" hashValue="bb9W9yNz7SrgB0ej8FaqcZROWv/btvumXMK+OVQOXUA6HxCbMTAf6jrxpHMmHY8lUDGOZyaDogCSlvBXxKsFNg==" saltValue="DT1c+wvTFhG5vuXbLpte6Q=="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2.5150000000000001</v>
      </c>
      <c r="D10" s="37" t="s">
        <v>89</v>
      </c>
      <c r="E10" s="59" t="str">
        <f t="shared" si="0"/>
        <v>/</v>
      </c>
      <c r="F10" s="37"/>
      <c r="G10" s="58"/>
      <c r="H10" s="2"/>
    </row>
    <row r="11" spans="1:8">
      <c r="A11" s="13" t="s">
        <v>1</v>
      </c>
      <c r="B11" s="13" t="s">
        <v>203</v>
      </c>
      <c r="C11" s="2">
        <v>1.3959999999999999</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5pEBwNmbpiAfS02e5Xgt7WE/0X1Ld8oonnURgLHOmjSWP2Ida4uevSbJmrYcN44Xdc1CjOlSzPlLzQR0Ikml5w==" saltValue="T/2IOcb3VsAmI3Rwq6KdZA=="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2026-04-10T14:27:37Z</dcterms:modified>
</cp:coreProperties>
</file>