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omments1.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ctrlProps/ctrlProp3.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4.xml" ContentType="application/vnd.ms-excel.controlproperties+xml"/>
  <Override PartName="/xl/comments3.xml" ContentType="application/vnd.openxmlformats-officedocument.spreadsheetml.comments+xml"/>
  <Override PartName="/xl/drawings/drawing4.xml" ContentType="application/vnd.openxmlformats-officedocument.drawing+xml"/>
  <Override PartName="/xl/ctrlProps/ctrlProp5.xml" ContentType="application/vnd.ms-excel.controlproperties+xml"/>
  <Override PartName="/xl/comments4.xml" ContentType="application/vnd.openxmlformats-officedocument.spreadsheetml.comments+xml"/>
  <Override PartName="/xl/drawings/drawing5.xml" ContentType="application/vnd.openxmlformats-officedocument.drawing+xml"/>
  <Override PartName="/xl/ctrlProps/ctrlProp6.xml" ContentType="application/vnd.ms-excel.controlproperties+xml"/>
  <Override PartName="/xl/comments5.xml" ContentType="application/vnd.openxmlformats-officedocument.spreadsheetml.comments+xml"/>
  <Override PartName="/xl/drawings/drawing6.xml" ContentType="application/vnd.openxmlformats-officedocument.drawing+xml"/>
  <Override PartName="/xl/ctrlProps/ctrlProp7.xml" ContentType="application/vnd.ms-excel.controlproperties+xml"/>
  <Override PartName="/xl/comments6.xml" ContentType="application/vnd.openxmlformats-officedocument.spreadsheetml.comments+xml"/>
  <Override PartName="/xl/drawings/drawing7.xml" ContentType="application/vnd.openxmlformats-officedocument.drawing+xml"/>
  <Override PartName="/xl/ctrlProps/ctrlProp8.xml" ContentType="application/vnd.ms-excel.controlproperties+xml"/>
  <Override PartName="/xl/comments7.xml" ContentType="application/vnd.openxmlformats-officedocument.spreadsheetml.comments+xml"/>
  <Override PartName="/xl/drawings/drawing8.xml" ContentType="application/vnd.openxmlformats-officedocument.drawing+xml"/>
  <Override PartName="/xl/ctrlProps/ctrlProp9.xml" ContentType="application/vnd.ms-excel.controlproperties+xml"/>
  <Override PartName="/xl/comments8.xml" ContentType="application/vnd.openxmlformats-officedocument.spreadsheetml.comments+xml"/>
  <Override PartName="/xl/drawings/drawing9.xml" ContentType="application/vnd.openxmlformats-officedocument.drawing+xml"/>
  <Override PartName="/xl/ctrlProps/ctrlProp10.xml" ContentType="application/vnd.ms-excel.controlproperties+xml"/>
  <Override PartName="/xl/comments9.xml" ContentType="application/vnd.openxmlformats-officedocument.spreadsheetml.comments+xml"/>
  <Override PartName="/xl/drawings/drawing10.xml" ContentType="application/vnd.openxmlformats-officedocument.drawing+xml"/>
  <Override PartName="/xl/ctrlProps/ctrlProp11.xml" ContentType="application/vnd.ms-excel.controlproperties+xml"/>
  <Override PartName="/xl/comments10.xml" ContentType="application/vnd.openxmlformats-officedocument.spreadsheetml.comments+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11.xml" ContentType="application/vnd.openxmlformats-officedocument.drawing+xml"/>
  <Override PartName="/xl/ctrlProps/ctrlProp1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929" codeName="{28389E77-7640-9E18-AD5C-E98E2F4A8B83}"/>
  <workbookPr codeName="ThisWorkbook" defaultThemeVersion="166925"/>
  <mc:AlternateContent xmlns:mc="http://schemas.openxmlformats.org/markup-compatibility/2006">
    <mc:Choice Requires="x15">
      <x15ac:absPath xmlns:x15ac="http://schemas.microsoft.com/office/spreadsheetml/2010/11/ac" url="C:\Users\ciepm\OneDrive\Documents\Github\agrivoltaics\simulink_model\functions\PVeconomicsfiles\"/>
    </mc:Choice>
  </mc:AlternateContent>
  <xr:revisionPtr revIDLastSave="0" documentId="13_ncr:1_{7F614A52-118F-4C62-B14A-C24738376DF3}" xr6:coauthVersionLast="47" xr6:coauthVersionMax="47" xr10:uidLastSave="{00000000-0000-0000-0000-000000000000}"/>
  <bookViews>
    <workbookView xWindow="9600" yWindow="5540" windowWidth="28800" windowHeight="15460" xr2:uid="{628CA7C5-A1D8-4475-979E-D6D03AE5317D}"/>
  </bookViews>
  <sheets>
    <sheet name="System" sheetId="3" r:id="rId1"/>
    <sheet name="Module" sheetId="21" r:id="rId2"/>
    <sheet name="Inverter" sheetId="20" r:id="rId3"/>
    <sheet name="ESS" sheetId="17" r:id="rId4"/>
    <sheet name="SBOS" sheetId="19" r:id="rId5"/>
    <sheet name="EBOS" sheetId="18" r:id="rId6"/>
    <sheet name="Fieldwork" sheetId="16" r:id="rId7"/>
    <sheet name="Officework" sheetId="24" r:id="rId8"/>
    <sheet name="Other" sheetId="14" r:id="rId9"/>
    <sheet name="O_M" sheetId="22" r:id="rId10"/>
    <sheet name="Factors" sheetId="7" r:id="rId11"/>
    <sheet name="Guide" sheetId="25" r:id="rId12"/>
  </sheets>
  <functionGroups builtInGroupCount="19"/>
  <definedNames>
    <definedName name="Battery45X">Factors!$C$31</definedName>
    <definedName name="BatteryDuration">Factors!$C$32</definedName>
    <definedName name="CellToModule">Factors!$C$13</definedName>
    <definedName name="ContingencyRate">Factors!$C$45</definedName>
    <definedName name="DeveloperProfitMMP">Factors!$C$48</definedName>
    <definedName name="DeveloperProfitMSP">Factors!$C$47</definedName>
    <definedName name="EBOSMMP">EBOS!$H$22</definedName>
    <definedName name="EBOSMSP">EBOS!$F$22</definedName>
    <definedName name="EBOSSize">EBOS!$A$3</definedName>
    <definedName name="EBOSUnit">EBOS!$B$3</definedName>
    <definedName name="EBOSweight">Factors!$C$30</definedName>
    <definedName name="ESS_ILR">Factors!$C$33</definedName>
    <definedName name="ESSDepreciation">Factors!$C$37</definedName>
    <definedName name="ESSElectricity">Factors!$C$36</definedName>
    <definedName name="ESSInstallLabor">Factors!$C$42</definedName>
    <definedName name="ESSLabor">Factors!$C$35</definedName>
    <definedName name="ESSLossRate">Factors!$C$52</definedName>
    <definedName name="ESSMarketPrice">Factors!$C$39</definedName>
    <definedName name="ESSMMP">ESS!$H$22</definedName>
    <definedName name="ESSMSP">ESS!$F$22</definedName>
    <definedName name="ESSProfitMSP">Factors!$C$38</definedName>
    <definedName name="ESSSize">ESS!$A$3</definedName>
    <definedName name="ESSUnit">ESS!$B$3</definedName>
    <definedName name="ESSWeight">Factors!$C$34</definedName>
    <definedName name="FastenerWeight">Factors!$C$25</definedName>
    <definedName name="FieldworkMMP">Fieldwork!$H$22</definedName>
    <definedName name="FieldworkMSP">Fieldwork!$F$22</definedName>
    <definedName name="FieldworkSize">Fieldwork!$A$3</definedName>
    <definedName name="FieldworkUnit">Fieldwork!$B$3</definedName>
    <definedName name="ILR">Factors!$C$4</definedName>
    <definedName name="IncludeESS">System!$H$6</definedName>
    <definedName name="IncludeIndirect">System!$H$7</definedName>
    <definedName name="InsuranceRate">Factors!$C$55</definedName>
    <definedName name="InverterDepreciation">Factors!$C$22</definedName>
    <definedName name="InverterElectricity">Factors!$C$21</definedName>
    <definedName name="InverterLabor">Factors!$C$20</definedName>
    <definedName name="InverterLossRate">Factors!$C$50</definedName>
    <definedName name="InverterMarketPrice">Factors!$C$24</definedName>
    <definedName name="InverterMMP">Inverter!$H$22</definedName>
    <definedName name="InverterMSP">Inverter!$F$22</definedName>
    <definedName name="InverterProfitMSP">Factors!$C$23</definedName>
    <definedName name="InverterSize">Inverter!$A$3</definedName>
    <definedName name="InverterUnit">Inverter!$B$3</definedName>
    <definedName name="InverterWeight">Factors!$C$19</definedName>
    <definedName name="LaborBurdenRate">Factors!$C$43</definedName>
    <definedName name="LandArea">Factors!$C$53</definedName>
    <definedName name="ModuleDepreciation">Factors!$C$16</definedName>
    <definedName name="ModuleEfficiency">Factors!$C$9</definedName>
    <definedName name="ModuleElectricity">Factors!$C$15</definedName>
    <definedName name="ModuleHeight">Factors!$C$10</definedName>
    <definedName name="ModuleLabor">Factors!$C$14</definedName>
    <definedName name="ModuleLossRate">Factors!$C$51</definedName>
    <definedName name="ModuleMarketPrice">Factors!$C$18</definedName>
    <definedName name="ModuleMMP">Module!$H$22</definedName>
    <definedName name="ModuleMSP">Module!$F$22</definedName>
    <definedName name="ModuleProfitMSP">Factors!$C$17</definedName>
    <definedName name="ModuleSize">Module!$A$3</definedName>
    <definedName name="ModuleUnit">Module!$B$3</definedName>
    <definedName name="ModuleWeight">Factors!$C$12</definedName>
    <definedName name="ModuleWidth">Factors!$C$11</definedName>
    <definedName name="O_MMMP">O_M!$H$22</definedName>
    <definedName name="O_MMSP">O_M!$F$22</definedName>
    <definedName name="O_MSize">O_M!$A$3</definedName>
    <definedName name="O_MUnit">O_M!$B$3</definedName>
    <definedName name="OfficeworkMMP">Officework!$H$22</definedName>
    <definedName name="OfficeworkMSP">Officework!$F$22</definedName>
    <definedName name="OfficeworkSize">Officework!$A$3</definedName>
    <definedName name="OfficeworkUnit">Officework!$B$3</definedName>
    <definedName name="OtherMMP">Other!$H$22</definedName>
    <definedName name="OtherMSP">Other!$F$22</definedName>
    <definedName name="OtherSize">Other!$A$3</definedName>
    <definedName name="OtherUnit">Other!$B$3</definedName>
    <definedName name="OverheadRate">Factors!$C$46</definedName>
    <definedName name="PartsLossRate">Factors!$C$49</definedName>
    <definedName name="PiersPerRow">Factors!$C$28</definedName>
    <definedName name="PropertyTaxRate">Factors!$C$54</definedName>
    <definedName name="PVConstructionLabor">Factors!$C$41</definedName>
    <definedName name="PVElectricalLabor">Factors!$C$40</definedName>
    <definedName name="RowLength">Factors!$C$29</definedName>
    <definedName name="SalesTaxRate">Factors!$C$44</definedName>
    <definedName name="SBOSMMP">SBOS!$H$22</definedName>
    <definedName name="SBOSMSP">SBOS!$F$22</definedName>
    <definedName name="SBOSshippingWeight">Factors!$C$27</definedName>
    <definedName name="SBOSSize">SBOS!$A$3</definedName>
    <definedName name="SBOSUnit">SBOS!$B$3</definedName>
    <definedName name="StorageDuration">Factors!$C$5</definedName>
    <definedName name="SysEBOSMMP">System!$H$14</definedName>
    <definedName name="SysEBOSMSP">System!$F$14</definedName>
    <definedName name="SysESSMMP">System!$H$12</definedName>
    <definedName name="SysESSMSP">System!$F$12</definedName>
    <definedName name="SysFieldworkMMP">System!$H$15</definedName>
    <definedName name="SysFieldworkMSP">System!$F$15</definedName>
    <definedName name="SysInverterMMP">System!$H$11</definedName>
    <definedName name="SysInverterMSP">System!$F$11</definedName>
    <definedName name="SysModuleMMP">System!$H$10</definedName>
    <definedName name="SysModuleMSP">System!$F$10</definedName>
    <definedName name="SysOfficeworkMMP">System!$H$16</definedName>
    <definedName name="SysOfficeworkMSP">System!$F$16</definedName>
    <definedName name="SysOtherMMP">System!$H$17</definedName>
    <definedName name="SysOtherMSP">System!$F$17</definedName>
    <definedName name="SysSBOSMMP">System!$H$13</definedName>
    <definedName name="SysSBOSMSP">System!$F$13</definedName>
    <definedName name="SystemMMP">System!$H$22</definedName>
    <definedName name="SystemMSP">System!$F$22</definedName>
    <definedName name="SystemSize">System!$A$3</definedName>
    <definedName name="SystemUnit">System!$B$3</definedName>
    <definedName name="Tariff201">Factors!$C$6</definedName>
    <definedName name="Tariff301">Factors!$C$7</definedName>
    <definedName name="Tariff301high">Factors!$C$8</definedName>
    <definedName name="TorqueTubeWeight">Factors!$C$26</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18" i="22" l="1"/>
  <c r="E17" i="22"/>
  <c r="E16" i="22"/>
  <c r="E15" i="22"/>
  <c r="E14" i="22"/>
  <c r="E13" i="22"/>
  <c r="E12" i="22"/>
  <c r="E11" i="22"/>
  <c r="E10" i="22"/>
  <c r="A3" i="22"/>
  <c r="F21" i="22" s="1"/>
  <c r="E12" i="24"/>
  <c r="E11" i="24"/>
  <c r="E10" i="24"/>
  <c r="H10" i="24" s="1"/>
  <c r="B3" i="24"/>
  <c r="C16" i="3" s="1"/>
  <c r="A3" i="24"/>
  <c r="F17" i="24" s="1"/>
  <c r="E14" i="16"/>
  <c r="E13" i="16"/>
  <c r="E12" i="16"/>
  <c r="E11" i="16"/>
  <c r="E10" i="16"/>
  <c r="A3" i="16"/>
  <c r="E16" i="18"/>
  <c r="E15" i="18"/>
  <c r="G14" i="18"/>
  <c r="G11" i="18"/>
  <c r="H11" i="18" s="1"/>
  <c r="A3" i="18"/>
  <c r="F10" i="18" s="1"/>
  <c r="E15" i="19"/>
  <c r="E14" i="19"/>
  <c r="G13" i="19"/>
  <c r="H13" i="19" s="1"/>
  <c r="E13" i="19"/>
  <c r="G12" i="19"/>
  <c r="E12" i="19"/>
  <c r="E11" i="19"/>
  <c r="E10" i="19"/>
  <c r="A3" i="19"/>
  <c r="G20" i="17"/>
  <c r="E19" i="17"/>
  <c r="E16" i="17"/>
  <c r="E15" i="17"/>
  <c r="H15" i="17" s="1"/>
  <c r="E14" i="17"/>
  <c r="F14" i="17" s="1"/>
  <c r="E13" i="17"/>
  <c r="H13" i="17" s="1"/>
  <c r="G10" i="17"/>
  <c r="H10" i="17" s="1"/>
  <c r="E19" i="20"/>
  <c r="F19" i="20" s="1"/>
  <c r="E16" i="20"/>
  <c r="E15" i="20"/>
  <c r="E14" i="20"/>
  <c r="E19" i="21"/>
  <c r="E16" i="21"/>
  <c r="E15" i="21"/>
  <c r="H15" i="21" s="1"/>
  <c r="E14" i="21"/>
  <c r="F14" i="21" s="1"/>
  <c r="E13" i="21"/>
  <c r="F13" i="21" s="1"/>
  <c r="E12" i="21"/>
  <c r="F12" i="21" s="1"/>
  <c r="E11" i="21"/>
  <c r="F11" i="21" s="1"/>
  <c r="E10" i="21"/>
  <c r="F10" i="21" s="1"/>
  <c r="C17" i="3"/>
  <c r="E15" i="3"/>
  <c r="C15" i="3"/>
  <c r="E14" i="3"/>
  <c r="C14" i="3"/>
  <c r="E13" i="3"/>
  <c r="C13" i="3"/>
  <c r="E12" i="3"/>
  <c r="C12" i="3"/>
  <c r="E11" i="3"/>
  <c r="C11" i="3"/>
  <c r="C10" i="3"/>
  <c r="H12" i="19"/>
  <c r="F15" i="19"/>
  <c r="H20" i="17"/>
  <c r="F19" i="17"/>
  <c r="H16" i="17"/>
  <c r="F15" i="20"/>
  <c r="H14" i="20"/>
  <c r="F16" i="21"/>
  <c r="F20" i="16"/>
  <c r="H14" i="18"/>
  <c r="H11" i="16"/>
  <c r="H10" i="16"/>
  <c r="E51" i="7"/>
  <c r="E50" i="7"/>
  <c r="E49" i="7"/>
  <c r="E48" i="7"/>
  <c r="E47" i="7"/>
  <c r="E46" i="7"/>
  <c r="E45" i="7"/>
  <c r="E44" i="7"/>
  <c r="E43" i="7"/>
  <c r="E42" i="7"/>
  <c r="E41" i="7"/>
  <c r="E40" i="7"/>
  <c r="E39" i="7"/>
  <c r="E38" i="7"/>
  <c r="E37" i="7"/>
  <c r="E36" i="7"/>
  <c r="E35" i="7"/>
  <c r="E34" i="7"/>
  <c r="E33" i="7"/>
  <c r="E55" i="7"/>
  <c r="E54" i="7"/>
  <c r="E53" i="7"/>
  <c r="E52" i="7"/>
  <c r="E32" i="7"/>
  <c r="E31" i="7"/>
  <c r="E30" i="7"/>
  <c r="E29" i="7"/>
  <c r="E28" i="7"/>
  <c r="E27" i="7"/>
  <c r="E26" i="7"/>
  <c r="E25" i="7"/>
  <c r="E24" i="7"/>
  <c r="E60" i="7"/>
  <c r="E59" i="7"/>
  <c r="E58" i="7"/>
  <c r="E57" i="7"/>
  <c r="E56" i="7"/>
  <c r="E23" i="7"/>
  <c r="E22" i="7"/>
  <c r="E21" i="7"/>
  <c r="E20" i="7"/>
  <c r="E19" i="7"/>
  <c r="E18" i="7"/>
  <c r="E82" i="7"/>
  <c r="E81" i="7"/>
  <c r="E80" i="7"/>
  <c r="E79" i="7"/>
  <c r="E78" i="7"/>
  <c r="E77" i="7"/>
  <c r="E76" i="7"/>
  <c r="E75" i="7"/>
  <c r="E74" i="7"/>
  <c r="E73" i="7"/>
  <c r="E72" i="7"/>
  <c r="E71" i="7"/>
  <c r="E70" i="7"/>
  <c r="E69" i="7"/>
  <c r="E68" i="7"/>
  <c r="E67" i="7"/>
  <c r="E66" i="7"/>
  <c r="E65" i="7"/>
  <c r="E64" i="7"/>
  <c r="E63" i="7"/>
  <c r="E62" i="7"/>
  <c r="E61" i="7"/>
  <c r="E17" i="7"/>
  <c r="E16" i="7"/>
  <c r="H18" i="14"/>
  <c r="F18" i="3"/>
  <c r="F10" i="17"/>
  <c r="F18" i="14"/>
  <c r="F17" i="21"/>
  <c r="H21" i="3"/>
  <c r="F20" i="21"/>
  <c r="F13" i="20"/>
  <c r="F21" i="17"/>
  <c r="F12" i="17"/>
  <c r="F15" i="14"/>
  <c r="H15" i="14"/>
  <c r="F16" i="14"/>
  <c r="H17" i="21"/>
  <c r="H18" i="3"/>
  <c r="H12" i="17"/>
  <c r="H17" i="14"/>
  <c r="H19" i="14"/>
  <c r="F17" i="14"/>
  <c r="F21" i="14"/>
  <c r="H17" i="20"/>
  <c r="H20" i="21"/>
  <c r="H11" i="20"/>
  <c r="F20" i="20"/>
  <c r="H20" i="14"/>
  <c r="F21" i="20"/>
  <c r="H16" i="14"/>
  <c r="H21" i="21"/>
  <c r="H10" i="20"/>
  <c r="F17" i="17"/>
  <c r="F11" i="17"/>
  <c r="H11" i="17"/>
  <c r="F20" i="17"/>
  <c r="F19" i="14"/>
  <c r="H12" i="20"/>
  <c r="H20" i="3"/>
  <c r="F11" i="20"/>
  <c r="F21" i="3"/>
  <c r="H21" i="14"/>
  <c r="H21" i="20"/>
  <c r="F20" i="3"/>
  <c r="H17" i="17"/>
  <c r="H19" i="3"/>
  <c r="F10" i="20"/>
  <c r="F17" i="20"/>
  <c r="H13" i="20"/>
  <c r="H21" i="17"/>
  <c r="F19" i="3"/>
  <c r="F21" i="21"/>
  <c r="F12" i="20"/>
  <c r="F20" i="14"/>
  <c r="E10" i="7" l="1"/>
  <c r="E5" i="7"/>
  <c r="E6" i="7"/>
  <c r="E7" i="7"/>
  <c r="E8" i="7"/>
  <c r="E9" i="7"/>
  <c r="E11" i="7"/>
  <c r="E12" i="7"/>
  <c r="E13" i="7"/>
  <c r="E14" i="7"/>
  <c r="E15" i="7"/>
  <c r="E83" i="7"/>
  <c r="E84" i="7"/>
  <c r="E85" i="7"/>
  <c r="E86" i="7"/>
  <c r="E87" i="7"/>
  <c r="E88" i="7"/>
  <c r="E89" i="7"/>
  <c r="E90" i="7"/>
  <c r="E91" i="7"/>
  <c r="E92" i="7"/>
  <c r="E93" i="7"/>
  <c r="E94" i="7"/>
  <c r="E95" i="7"/>
  <c r="E96" i="7"/>
  <c r="E97" i="7"/>
  <c r="E98" i="7"/>
  <c r="E99" i="7"/>
  <c r="E100" i="7"/>
  <c r="E101" i="7"/>
  <c r="E102" i="7"/>
  <c r="E103" i="7"/>
  <c r="E4" i="7"/>
  <c r="F16" i="19"/>
  <c r="H21" i="18"/>
  <c r="F12" i="18"/>
  <c r="H19" i="18"/>
  <c r="H19" i="19"/>
  <c r="H17" i="18"/>
  <c r="H10" i="22"/>
  <c r="H19" i="17"/>
  <c r="F12" i="19"/>
  <c r="F16" i="17"/>
  <c r="H19" i="24"/>
  <c r="F20" i="19"/>
  <c r="H17" i="19"/>
  <c r="F20" i="22"/>
  <c r="F20" i="18"/>
  <c r="H18" i="19"/>
  <c r="H15" i="19"/>
  <c r="H21" i="19"/>
  <c r="F16" i="16"/>
  <c r="F14" i="19"/>
  <c r="F19" i="16"/>
  <c r="H19" i="22"/>
  <c r="F17" i="16"/>
  <c r="F19" i="22"/>
  <c r="H11" i="22"/>
  <c r="H16" i="24"/>
  <c r="H13" i="24"/>
  <c r="H19" i="16"/>
  <c r="F13" i="17"/>
  <c r="H18" i="24"/>
  <c r="H20" i="24"/>
  <c r="H11" i="21"/>
  <c r="H12" i="18"/>
  <c r="F11" i="19"/>
  <c r="F19" i="18"/>
  <c r="F13" i="16"/>
  <c r="F14" i="24"/>
  <c r="F10" i="24"/>
  <c r="H15" i="24"/>
  <c r="F21" i="18"/>
  <c r="H20" i="22"/>
  <c r="F14" i="20"/>
  <c r="H14" i="16"/>
  <c r="F13" i="18"/>
  <c r="F17" i="18"/>
  <c r="F16" i="22"/>
  <c r="H21" i="16"/>
  <c r="H18" i="16"/>
  <c r="F11" i="18"/>
  <c r="H13" i="21"/>
  <c r="F13" i="19"/>
  <c r="F15" i="21"/>
  <c r="D18" i="21" s="1"/>
  <c r="H12" i="21"/>
  <c r="H15" i="16"/>
  <c r="H12" i="24"/>
  <c r="F19" i="24"/>
  <c r="H20" i="19"/>
  <c r="F13" i="24"/>
  <c r="H21" i="22"/>
  <c r="F11" i="16"/>
  <c r="H20" i="18"/>
  <c r="H18" i="18"/>
  <c r="F12" i="24"/>
  <c r="F17" i="19"/>
  <c r="F20" i="24"/>
  <c r="H16" i="16"/>
  <c r="H10" i="18"/>
  <c r="F21" i="24"/>
  <c r="H11" i="24"/>
  <c r="H16" i="21"/>
  <c r="H21" i="24"/>
  <c r="H17" i="16"/>
  <c r="H17" i="24"/>
  <c r="F11" i="22"/>
  <c r="F18" i="18"/>
  <c r="H15" i="20"/>
  <c r="H14" i="21"/>
  <c r="F21" i="16"/>
  <c r="H14" i="17"/>
  <c r="G18" i="17" s="1"/>
  <c r="F18" i="16"/>
  <c r="H13" i="16"/>
  <c r="F16" i="20"/>
  <c r="H11" i="19"/>
  <c r="F18" i="19"/>
  <c r="H16" i="18"/>
  <c r="F15" i="16"/>
  <c r="F15" i="24"/>
  <c r="F15" i="17"/>
  <c r="F16" i="18"/>
  <c r="H14" i="19"/>
  <c r="F15" i="18"/>
  <c r="F10" i="22"/>
  <c r="F12" i="16"/>
  <c r="H14" i="24"/>
  <c r="H10" i="19"/>
  <c r="H16" i="19"/>
  <c r="F18" i="24"/>
  <c r="H10" i="21"/>
  <c r="H19" i="20"/>
  <c r="F21" i="19"/>
  <c r="F11" i="24"/>
  <c r="H13" i="18"/>
  <c r="F10" i="16"/>
  <c r="H20" i="16"/>
  <c r="F19" i="19"/>
  <c r="F16" i="24"/>
  <c r="F10" i="19"/>
  <c r="H15" i="18"/>
  <c r="H12" i="16"/>
  <c r="H16" i="22"/>
  <c r="F14" i="18"/>
  <c r="F14" i="16"/>
  <c r="D18" i="17" l="1"/>
  <c r="D18" i="20"/>
  <c r="H9" i="22"/>
  <c r="E9" i="22"/>
  <c r="F9" i="22"/>
  <c r="A2" i="19"/>
  <c r="A2" i="18"/>
  <c r="A2" i="24"/>
  <c r="A2" i="16"/>
  <c r="H9" i="14"/>
  <c r="F9" i="14"/>
  <c r="E9" i="14"/>
  <c r="H9" i="17"/>
  <c r="F9" i="17"/>
  <c r="E9" i="17"/>
  <c r="H9" i="20"/>
  <c r="F9" i="20"/>
  <c r="E9" i="20"/>
  <c r="H9" i="21"/>
  <c r="F9" i="21"/>
  <c r="E9" i="21"/>
  <c r="H9" i="3"/>
  <c r="H16" i="20"/>
  <c r="F18" i="21"/>
  <c r="F19" i="21"/>
  <c r="H18" i="17"/>
  <c r="F18" i="20"/>
  <c r="F18" i="17"/>
  <c r="G18" i="20" l="1"/>
  <c r="E9" i="24"/>
  <c r="H9" i="19"/>
  <c r="F9" i="3"/>
  <c r="E9" i="3"/>
  <c r="E9" i="18"/>
  <c r="F9" i="18"/>
  <c r="H9" i="18"/>
  <c r="H9" i="24"/>
  <c r="F9" i="24"/>
  <c r="E9" i="16"/>
  <c r="F9" i="16"/>
  <c r="H9" i="16"/>
  <c r="F22" i="17" l="1"/>
  <c r="D12" i="3" s="1"/>
  <c r="F12" i="3" s="1"/>
  <c r="D15" i="22" s="1"/>
  <c r="F9" i="19"/>
  <c r="E9" i="19"/>
  <c r="F22" i="19"/>
  <c r="D13" i="3" s="1"/>
  <c r="F13" i="3" s="1"/>
  <c r="D12" i="22" s="1"/>
  <c r="H22" i="24"/>
  <c r="G16" i="3" s="1"/>
  <c r="H16" i="3" s="1"/>
  <c r="F22" i="24"/>
  <c r="D16" i="3" s="1"/>
  <c r="F16" i="3" s="1"/>
  <c r="F22" i="18"/>
  <c r="D14" i="3" s="1"/>
  <c r="F14" i="3" s="1"/>
  <c r="H22" i="19"/>
  <c r="G13" i="3" s="1"/>
  <c r="H13" i="3" s="1"/>
  <c r="H22" i="18"/>
  <c r="G14" i="3" s="1"/>
  <c r="H14" i="3" s="1"/>
  <c r="H22" i="16" l="1"/>
  <c r="G15" i="3" s="1"/>
  <c r="H15" i="3" s="1"/>
  <c r="F22" i="16"/>
  <c r="D15" i="3" s="1"/>
  <c r="F15" i="3" s="1"/>
  <c r="H12" i="22"/>
  <c r="F15" i="22"/>
  <c r="F22" i="20" l="1"/>
  <c r="D11" i="3" s="1"/>
  <c r="F11" i="3" s="1"/>
  <c r="D14" i="22" s="1"/>
  <c r="H15" i="22"/>
  <c r="F12" i="22"/>
  <c r="H22" i="17" l="1"/>
  <c r="G12" i="3" s="1"/>
  <c r="H12" i="3" s="1"/>
  <c r="F14" i="22"/>
  <c r="F22" i="21" l="1"/>
  <c r="D10" i="3" s="1"/>
  <c r="F10" i="3" s="1"/>
  <c r="H14" i="14"/>
  <c r="H19" i="21"/>
  <c r="G18" i="21" s="1"/>
  <c r="H14" i="22"/>
  <c r="F14" i="14"/>
  <c r="D10" i="14" l="1"/>
  <c r="D11" i="14"/>
  <c r="F11" i="14" s="1"/>
  <c r="D12" i="14"/>
  <c r="F12" i="14" s="1"/>
  <c r="D13" i="22"/>
  <c r="F10" i="14"/>
  <c r="H13" i="22"/>
  <c r="H18" i="21"/>
  <c r="D13" i="14" l="1"/>
  <c r="F13" i="14" s="1"/>
  <c r="H18" i="20"/>
  <c r="G20" i="20" s="1"/>
  <c r="H22" i="21"/>
  <c r="G10" i="3" s="1"/>
  <c r="H10" i="3" s="1"/>
  <c r="F13" i="22"/>
  <c r="H20" i="20" l="1"/>
  <c r="H22" i="20" s="1"/>
  <c r="G11" i="3" s="1"/>
  <c r="F22" i="14"/>
  <c r="D17" i="3" s="1"/>
  <c r="F17" i="3" s="1"/>
  <c r="H11" i="3" l="1"/>
  <c r="F22" i="3"/>
  <c r="G11" i="14" l="1"/>
  <c r="H11" i="14" s="1"/>
  <c r="G10" i="14"/>
  <c r="H10" i="14" s="1"/>
  <c r="G12" i="14"/>
  <c r="H12" i="14" s="1"/>
  <c r="D18" i="22"/>
  <c r="D17" i="22"/>
  <c r="H18" i="22"/>
  <c r="F17" i="22"/>
  <c r="G13" i="14" l="1"/>
  <c r="H13" i="14"/>
  <c r="H22" i="14" s="1"/>
  <c r="G17" i="3" s="1"/>
  <c r="H17" i="22"/>
  <c r="F18" i="22"/>
  <c r="H17" i="3" l="1"/>
  <c r="H22" i="3" s="1"/>
  <c r="F22" i="22"/>
  <c r="H22" i="2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Paul Basore</author>
    <author>Jacob Cieply</author>
  </authors>
  <commentList>
    <comment ref="C2" authorId="0" shapeId="0" xr:uid="{C1EBCEC7-390D-4D55-854A-918D9701669C}">
      <text>
        <r>
          <rPr>
            <b/>
            <sz val="9"/>
            <color indexed="81"/>
            <rFont val="Tahoma"/>
            <family val="2"/>
          </rPr>
          <t>Red text indicates values have been altered and may need to be saved.</t>
        </r>
      </text>
    </comment>
    <comment ref="G9" authorId="0" shapeId="0" xr:uid="{E235DFC1-1612-4717-A757-EB24FDD88559}">
      <text>
        <r>
          <rPr>
            <b/>
            <sz val="9"/>
            <color indexed="81"/>
            <rFont val="Tahoma"/>
            <family val="2"/>
          </rPr>
          <t>If not blank, this column is used in place of column D to calculate MMP for that cost element.</t>
        </r>
        <r>
          <rPr>
            <sz val="9"/>
            <color indexed="81"/>
            <rFont val="Tahoma"/>
            <family val="2"/>
          </rPr>
          <t xml:space="preserve">
</t>
        </r>
      </text>
    </comment>
    <comment ref="F22" authorId="1" shapeId="0" xr:uid="{8B875C9D-135F-45F4-8A6D-F663C0DC2F88}">
      <text>
        <r>
          <rPr>
            <sz val="9"/>
            <color indexed="81"/>
            <rFont val="Tahoma"/>
            <family val="2"/>
          </rPr>
          <t>PV Benchmark Range:     $1172 - $1461            PV+ESS Range:          $1728 - $2365</t>
        </r>
      </text>
    </comment>
    <comment ref="H22" authorId="1" shapeId="0" xr:uid="{8B4EE2FB-0523-45DF-B7F6-379CB259064E}">
      <text>
        <r>
          <rPr>
            <sz val="9"/>
            <color indexed="81"/>
            <rFont val="Tahoma"/>
            <family val="2"/>
          </rPr>
          <t>PV Benchmark Range:     $1358 - $1625            PV+ESS Range:         $2078 - $2651</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Paul Basore</author>
    <author>Jacob Cieply</author>
  </authors>
  <commentList>
    <comment ref="D3" authorId="0" shapeId="0" xr:uid="{62A5A0F9-2492-44CE-9E52-8834528250C3}">
      <text>
        <r>
          <rPr>
            <b/>
            <sz val="9"/>
            <color indexed="81"/>
            <rFont val="Tahoma"/>
            <family val="2"/>
          </rPr>
          <t>Copy only this sheet from another PVSCM parameter file.</t>
        </r>
      </text>
    </comment>
    <comment ref="G9" authorId="0" shapeId="0" xr:uid="{BCE13F31-C61B-4306-B7AA-6E22D9E2BE18}">
      <text>
        <r>
          <rPr>
            <b/>
            <sz val="9"/>
            <color indexed="81"/>
            <rFont val="Tahoma"/>
            <family val="2"/>
          </rPr>
          <t>If not blank, this column is used instead of column D to calculate MMP and fixed cost is ignored</t>
        </r>
      </text>
    </comment>
    <comment ref="F22" authorId="1" shapeId="0" xr:uid="{CAAB9E60-E558-43A9-8979-9F1BA258F0DA}">
      <text>
        <r>
          <rPr>
            <sz val="9"/>
            <color indexed="81"/>
            <rFont val="Tahoma"/>
            <family val="2"/>
          </rPr>
          <t>Benchmark Range:     $211 - $289</t>
        </r>
      </text>
    </comment>
    <comment ref="H22" authorId="1" shapeId="0" xr:uid="{3D390081-913B-4C0C-AD8D-EA765C59AA89}">
      <text>
        <r>
          <rPr>
            <sz val="9"/>
            <color indexed="81"/>
            <rFont val="Tahoma"/>
            <family val="2"/>
          </rPr>
          <t>Benchmark Range:     $334 - $340</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Paul Basore</author>
    <author>Jacob Cieply</author>
  </authors>
  <commentList>
    <comment ref="D3" authorId="0" shapeId="0" xr:uid="{D730B6D9-7F63-4040-8BDF-A06F00659FF1}">
      <text>
        <r>
          <rPr>
            <b/>
            <sz val="9"/>
            <color indexed="81"/>
            <rFont val="Tahoma"/>
            <family val="2"/>
          </rPr>
          <t>Copy only this sheet from another PVSCM parameter file.</t>
        </r>
      </text>
    </comment>
    <comment ref="G9" authorId="0" shapeId="0" xr:uid="{6198F7EA-B2EA-4C6E-BFFC-83B6C0D3836C}">
      <text>
        <r>
          <rPr>
            <b/>
            <sz val="9"/>
            <color indexed="81"/>
            <rFont val="Tahoma"/>
            <family val="2"/>
          </rPr>
          <t>If not blank, this column is used instead of column D to calculate MMP and fixed cost is ignored</t>
        </r>
        <r>
          <rPr>
            <sz val="9"/>
            <color indexed="81"/>
            <rFont val="Tahoma"/>
            <family val="2"/>
          </rPr>
          <t xml:space="preserve">
</t>
        </r>
      </text>
    </comment>
    <comment ref="F22" authorId="1" shapeId="0" xr:uid="{057B67B7-8517-45FE-9AA8-100E81618419}">
      <text>
        <r>
          <rPr>
            <sz val="9"/>
            <color indexed="81"/>
            <rFont val="Tahoma"/>
            <family val="2"/>
          </rPr>
          <t>Benchmark Range:     $35 - $104</t>
        </r>
      </text>
    </comment>
    <comment ref="H22" authorId="1" shapeId="0" xr:uid="{342D3B3D-8464-436C-BD54-E07E16B82ACD}">
      <text>
        <r>
          <rPr>
            <sz val="9"/>
            <color indexed="81"/>
            <rFont val="Tahoma"/>
            <family val="2"/>
          </rPr>
          <t>Benchmark Range:     $53 - $120</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Paul Basore</author>
    <author>Jacob Cieply</author>
  </authors>
  <commentList>
    <comment ref="D3" authorId="0" shapeId="0" xr:uid="{9443AAD6-128A-4CBD-9C86-2090D0F66A2F}">
      <text>
        <r>
          <rPr>
            <b/>
            <sz val="9"/>
            <color indexed="81"/>
            <rFont val="Tahoma"/>
            <family val="2"/>
          </rPr>
          <t>Copy only this sheet from another PVSCM parameter file.</t>
        </r>
      </text>
    </comment>
    <comment ref="G9" authorId="0" shapeId="0" xr:uid="{E9B296DA-1EC1-4D9C-B4AE-6AEC5A11DABE}">
      <text>
        <r>
          <rPr>
            <b/>
            <sz val="9"/>
            <color indexed="81"/>
            <rFont val="Tahoma"/>
            <family val="2"/>
          </rPr>
          <t>If not blank, this column is used instead of column D to calculate MMP and fixed cost is ignored</t>
        </r>
        <r>
          <rPr>
            <sz val="9"/>
            <color indexed="81"/>
            <rFont val="Tahoma"/>
            <family val="2"/>
          </rPr>
          <t xml:space="preserve">
</t>
        </r>
      </text>
    </comment>
    <comment ref="F22" authorId="1" shapeId="0" xr:uid="{FD28F0D7-9EFE-4EFD-BDBD-D5EC3A79851E}">
      <text>
        <r>
          <rPr>
            <sz val="9"/>
            <color indexed="81"/>
            <rFont val="Tahoma"/>
            <family val="2"/>
          </rPr>
          <t>Benchmark Range:     $148 - $272</t>
        </r>
      </text>
    </comment>
    <comment ref="H22" authorId="1" shapeId="0" xr:uid="{50F3DFDE-D854-416D-9056-697FEDD96380}">
      <text>
        <r>
          <rPr>
            <sz val="9"/>
            <color indexed="81"/>
            <rFont val="Tahoma"/>
            <family val="2"/>
          </rPr>
          <t>Benchmark Range:     $188 - $350</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Paul Basore</author>
    <author>Jacob Cieply</author>
  </authors>
  <commentList>
    <comment ref="D3" authorId="0" shapeId="0" xr:uid="{37EB047F-98F3-45C4-925B-5EA03CCFD76E}">
      <text>
        <r>
          <rPr>
            <b/>
            <sz val="9"/>
            <color indexed="81"/>
            <rFont val="Tahoma"/>
            <family val="2"/>
          </rPr>
          <t>Copy only this sheet from another PVSCM parameter file.</t>
        </r>
      </text>
    </comment>
    <comment ref="G9" authorId="0" shapeId="0" xr:uid="{19B4E8C1-09FD-407E-8CF5-8A5112D71580}">
      <text>
        <r>
          <rPr>
            <b/>
            <sz val="9"/>
            <color indexed="81"/>
            <rFont val="Tahoma"/>
            <family val="2"/>
          </rPr>
          <t>If not blank, this column is used instead of column D to calculate MMP and fixed cost is ignored</t>
        </r>
        <r>
          <rPr>
            <sz val="9"/>
            <color indexed="81"/>
            <rFont val="Tahoma"/>
            <family val="2"/>
          </rPr>
          <t xml:space="preserve">
</t>
        </r>
      </text>
    </comment>
    <comment ref="F22" authorId="1" shapeId="0" xr:uid="{9F735C8C-A1BC-47CD-BDD3-39E259EEE03F}">
      <text>
        <r>
          <rPr>
            <sz val="9"/>
            <color indexed="81"/>
            <rFont val="Tahoma"/>
            <family val="2"/>
          </rPr>
          <t>PV Benchmark Range:     $28 - $47            PV+ESS Range:          $30 - $49</t>
        </r>
      </text>
    </comment>
    <comment ref="H22" authorId="1" shapeId="0" xr:uid="{4AE0FC9F-959F-469C-8F1B-9649C4958A98}">
      <text>
        <r>
          <rPr>
            <sz val="9"/>
            <color indexed="81"/>
            <rFont val="Tahoma"/>
            <family val="2"/>
          </rPr>
          <t>PV Benchmark Range:     $28 - $48            PV+ESS Range:         $31 - $50</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Paul Basore</author>
    <author>Jacob Cieply</author>
  </authors>
  <commentList>
    <comment ref="D3" authorId="0" shapeId="0" xr:uid="{338388EA-CD2E-47FC-B07A-F33D2B0AFCBA}">
      <text>
        <r>
          <rPr>
            <b/>
            <sz val="9"/>
            <color indexed="81"/>
            <rFont val="Tahoma"/>
            <family val="2"/>
          </rPr>
          <t>Copy only this sheet from another PVSCM parameter file.</t>
        </r>
      </text>
    </comment>
    <comment ref="G9" authorId="0" shapeId="0" xr:uid="{887CB8EF-F5FD-4D3B-9048-31B341CEDCE9}">
      <text>
        <r>
          <rPr>
            <b/>
            <sz val="9"/>
            <color indexed="81"/>
            <rFont val="Tahoma"/>
            <family val="2"/>
          </rPr>
          <t>If not blank, this column is used instead of column D to calculate MMP and fixed cost is ignored</t>
        </r>
        <r>
          <rPr>
            <sz val="9"/>
            <color indexed="81"/>
            <rFont val="Tahoma"/>
            <family val="2"/>
          </rPr>
          <t xml:space="preserve">
</t>
        </r>
      </text>
    </comment>
    <comment ref="F22" authorId="1" shapeId="0" xr:uid="{FF2D9ED5-9F96-464B-84CF-B3877E61527E}">
      <text>
        <r>
          <rPr>
            <sz val="9"/>
            <color indexed="81"/>
            <rFont val="Tahoma"/>
            <family val="2"/>
          </rPr>
          <t>PV Benchmark Range:     $245 - $245            PV+ESS Range:          $245 - $245</t>
        </r>
      </text>
    </comment>
    <comment ref="H22" authorId="1" shapeId="0" xr:uid="{24056B14-9B28-49D1-AB2B-A70CD755A4B8}">
      <text>
        <r>
          <rPr>
            <sz val="9"/>
            <color indexed="81"/>
            <rFont val="Tahoma"/>
            <family val="2"/>
          </rPr>
          <t>PV Benchmark Range:     $260 - $260            PV+ESS Range:         $260 - $260</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Paul Basore</author>
    <author>Jacob Cieply</author>
  </authors>
  <commentList>
    <comment ref="D3" authorId="0" shapeId="0" xr:uid="{0460AC40-9AA7-4DB9-8EED-0BF5EFE6B4E3}">
      <text>
        <r>
          <rPr>
            <b/>
            <sz val="9"/>
            <color indexed="81"/>
            <rFont val="Tahoma"/>
            <family val="2"/>
          </rPr>
          <t>Copy only this sheet from another PVSCM parameter file.</t>
        </r>
      </text>
    </comment>
    <comment ref="G9" authorId="0" shapeId="0" xr:uid="{F0129909-D031-499A-9FC7-BABF348BF050}">
      <text>
        <r>
          <rPr>
            <b/>
            <sz val="9"/>
            <color indexed="81"/>
            <rFont val="Tahoma"/>
            <family val="2"/>
          </rPr>
          <t>If not blank, this column is used instead of column D to calculate MMP and fixed cost is ignored</t>
        </r>
      </text>
    </comment>
    <comment ref="F22" authorId="1" shapeId="0" xr:uid="{717B3D97-B806-4AB8-9CC4-2E1D59CE4F52}">
      <text>
        <r>
          <rPr>
            <sz val="9"/>
            <color indexed="81"/>
            <rFont val="Tahoma"/>
            <family val="2"/>
          </rPr>
          <t>PV Benchmark Range:     $55 - $97            PV+ESS Range:          $88 - $130</t>
        </r>
      </text>
    </comment>
    <comment ref="H22" authorId="1" shapeId="0" xr:uid="{1E763F89-C867-4630-9712-E02BAA122CCD}">
      <text>
        <r>
          <rPr>
            <sz val="9"/>
            <color indexed="81"/>
            <rFont val="Tahoma"/>
            <family val="2"/>
          </rPr>
          <t>PV Benchmark Range:     $55 - $97            PV+ESS Range:         $88 - $130</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Paul Basore</author>
    <author>Jacob Cieply</author>
  </authors>
  <commentList>
    <comment ref="D3" authorId="0" shapeId="0" xr:uid="{0D7048C8-B654-43C9-9A3D-C0CD2A420647}">
      <text>
        <r>
          <rPr>
            <b/>
            <sz val="9"/>
            <color indexed="81"/>
            <rFont val="Tahoma"/>
            <family val="2"/>
          </rPr>
          <t>Copy only this sheet from another PVSCM parameter file.</t>
        </r>
      </text>
    </comment>
    <comment ref="G9" authorId="0" shapeId="0" xr:uid="{A744357B-04E6-4FAD-A9D5-0802C101372A}">
      <text>
        <r>
          <rPr>
            <b/>
            <sz val="9"/>
            <color indexed="81"/>
            <rFont val="Tahoma"/>
            <family val="2"/>
          </rPr>
          <t>If not blank, this column is used instead of column D to calculate MMP and fixed cost is ignored</t>
        </r>
      </text>
    </comment>
    <comment ref="F22" authorId="1" shapeId="0" xr:uid="{75F4B4A5-862E-408D-9C75-0D1CCE000D8E}">
      <text>
        <r>
          <rPr>
            <sz val="9"/>
            <color indexed="81"/>
            <rFont val="Tahoma"/>
            <family val="2"/>
          </rPr>
          <t>PV Benchmark Range:     $148 - $165            PV+ESS Range:          $148 - $165</t>
        </r>
      </text>
    </comment>
    <comment ref="H22" authorId="1" shapeId="0" xr:uid="{6A1CD149-1FA3-40E0-9021-A1AC10E8CE5B}">
      <text>
        <r>
          <rPr>
            <sz val="9"/>
            <color indexed="81"/>
            <rFont val="Tahoma"/>
            <family val="2"/>
          </rPr>
          <t>PV Benchmark Range:     $152 - $177            PV+ESS Range:         $152 - $177</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Paul Basore</author>
    <author>Jacob Cieply</author>
  </authors>
  <commentList>
    <comment ref="D3" authorId="0" shapeId="0" xr:uid="{4482083D-EB99-4701-BF10-538868E868AC}">
      <text>
        <r>
          <rPr>
            <b/>
            <sz val="9"/>
            <color indexed="81"/>
            <rFont val="Tahoma"/>
            <family val="2"/>
          </rPr>
          <t>Copy only this sheet from another PVSCM parameter file.</t>
        </r>
      </text>
    </comment>
    <comment ref="G9" authorId="0" shapeId="0" xr:uid="{D4E1BFC4-21BB-4952-A4C8-1EFE7D3ED229}">
      <text>
        <r>
          <rPr>
            <b/>
            <sz val="9"/>
            <color indexed="81"/>
            <rFont val="Tahoma"/>
            <family val="2"/>
          </rPr>
          <t>If not blank, this column is used instead of column D to calculate MMP and fixed cost is ignored</t>
        </r>
      </text>
    </comment>
    <comment ref="F22" authorId="1" shapeId="0" xr:uid="{3DEBE829-B6BC-4F22-8B85-187245B01168}">
      <text>
        <r>
          <rPr>
            <sz val="9"/>
            <color indexed="81"/>
            <rFont val="Tahoma"/>
            <family val="2"/>
          </rPr>
          <t>PV Benchmark Range:     $189 - $236            PV+ESS Range:          $276 - $381</t>
        </r>
      </text>
    </comment>
    <comment ref="H22" authorId="1" shapeId="0" xr:uid="{A8BCB7E0-AD4C-4CB3-A56C-25FB08FE59F8}">
      <text>
        <r>
          <rPr>
            <sz val="9"/>
            <color indexed="81"/>
            <rFont val="Tahoma"/>
            <family val="2"/>
          </rPr>
          <t>PV Benchmark Range:     $220 - $255            PV+ESS Range:         $333 - $430</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Paul Basore</author>
    <author>Jacob Cieply</author>
  </authors>
  <commentList>
    <comment ref="D3" authorId="0" shapeId="0" xr:uid="{A72E1EA1-CBC6-4A10-9A3B-F641C2640985}">
      <text>
        <r>
          <rPr>
            <b/>
            <sz val="9"/>
            <color indexed="81"/>
            <rFont val="Tahoma"/>
            <family val="2"/>
          </rPr>
          <t>Copy only this sheet from another PVSCM parameter file.</t>
        </r>
      </text>
    </comment>
    <comment ref="G9" authorId="0" shapeId="0" xr:uid="{A9FE324D-1D14-48DF-BDC1-9E7A4FD2A599}">
      <text>
        <r>
          <rPr>
            <b/>
            <sz val="9"/>
            <color indexed="81"/>
            <rFont val="Tahoma"/>
            <family val="2"/>
          </rPr>
          <t>If not blank, this column is used instead of column D to calculate MMP and fixed cost is ignored</t>
        </r>
      </text>
    </comment>
    <comment ref="F22" authorId="1" shapeId="0" xr:uid="{6B2C5A2F-EC61-4860-A1CB-BF7D0B7C3928}">
      <text>
        <r>
          <rPr>
            <sz val="9"/>
            <color indexed="81"/>
            <rFont val="Tahoma"/>
            <family val="2"/>
          </rPr>
          <t>PV Benchmark Range:     $17 - $26            PV+ESS Range:          $35 - $57</t>
        </r>
      </text>
    </comment>
    <comment ref="H22" authorId="1" shapeId="0" xr:uid="{B0349E7C-C753-45D1-8038-23DE4263D102}">
      <text>
        <r>
          <rPr>
            <sz val="9"/>
            <color indexed="81"/>
            <rFont val="Tahoma"/>
            <family val="2"/>
          </rPr>
          <t>PV Benchmark Range:     $18 - $26            PV+ESS Range:         $36 - $58</t>
        </r>
      </text>
    </comment>
  </commentList>
</comments>
</file>

<file path=xl/sharedStrings.xml><?xml version="1.0" encoding="utf-8"?>
<sst xmlns="http://schemas.openxmlformats.org/spreadsheetml/2006/main" count="697" uniqueCount="320">
  <si>
    <t>Cost Element</t>
  </si>
  <si>
    <t>Module</t>
  </si>
  <si>
    <t>Inverter</t>
  </si>
  <si>
    <t>Cost per  Intrinsic Unit</t>
  </si>
  <si>
    <t>Intrinsic Unit</t>
  </si>
  <si>
    <t>Annual Production</t>
  </si>
  <si>
    <t>System Size</t>
  </si>
  <si>
    <t>System</t>
  </si>
  <si>
    <t>Calculated</t>
  </si>
  <si>
    <t>Input Value</t>
  </si>
  <si>
    <t>Model Definition</t>
  </si>
  <si>
    <t>Other</t>
  </si>
  <si>
    <t>Annual Installations</t>
  </si>
  <si>
    <t>Filename:</t>
  </si>
  <si>
    <t>Factors</t>
  </si>
  <si>
    <t>Comments</t>
  </si>
  <si>
    <t>Fixed Cost
per Year</t>
  </si>
  <si>
    <t>SBOS</t>
  </si>
  <si>
    <t>O_M</t>
  </si>
  <si>
    <t>Distorted per
Unit Cost</t>
  </si>
  <si>
    <t>EBOS</t>
  </si>
  <si>
    <t>Names must not contain spaces or special characters</t>
  </si>
  <si>
    <t>kWdc</t>
  </si>
  <si>
    <t>ESS</t>
  </si>
  <si>
    <t>GUIDE</t>
  </si>
  <si>
    <t>Fixed Cost
per System</t>
  </si>
  <si>
    <t>Description</t>
  </si>
  <si>
    <t>Load/Save</t>
  </si>
  <si>
    <t>Fixed Cost</t>
  </si>
  <si>
    <t>MSP</t>
  </si>
  <si>
    <t>MMP</t>
  </si>
  <si>
    <t>Color Code</t>
  </si>
  <si>
    <t>Operation and Maintenance</t>
  </si>
  <si>
    <t xml:space="preserve">Minimum Sutainable Price. MSP is the minimum price in a balanced, competitive market that a company can charge for its product or service and remain financially solvent for the long term, based on input costs that represent the minimum price that each input supplier can charge and remain financially solvent for the long term. MSP cannot be directly observed; instead, it must be deduced from observable factors and feedback from industry stakeholders. </t>
  </si>
  <si>
    <t>You can save your Excel file under a new name in the conventional manner, creating a copy of PVSCM. However, a much more efficient approach is to use the Save button in cell E3 on the System sheet to save the data fields in a text file (suffix txt). You can then Load any previouslly saved txt file using the Load button in cell E2. 
You can load just one sheet from a previously saved txt file using the Copy button in cell D3 on that sheet (for example, to use the same type of module in a different type of system). 
The spreadsheet should be loaded with input values from a txt file (i.e., not empty) before copying values from a txt file into any single sheet.</t>
  </si>
  <si>
    <t>The Annual Production input parameter in cell A3 on the Module, Inverter, and ESS sheets defines the size of the factories used to produce these components. The cost model is designed to allow the same cost parameters to apply across a range of factory size, at least within a factor of two of the nominal value provided. The annual production rate only changes MSP and MMP (see below) if there is at least one non-zero Fixed Cost parameter (see below) on any of these sheets. The resulting change in MSP for modules, inverters, or ESS will affect the annual operation and maintenance (O&amp;M) cost on the O_M sheet if it affects the replacement cost of these components.</t>
  </si>
  <si>
    <t xml:space="preserve">The Annual Installations input parameter in cell A3 on the Other sheet defines the size of the system integrator that is the entity selling the complete system to a customer. The cost model is designed to allow the same cost parameters to apply across a range of system integrator size, at least within a factor of two of the nominal value provided. The annual installations parameter only changes MSP and MMP (see below) if there is at least one non-zero Fixed Cost parameter (see below) on the Other sheet. </t>
  </si>
  <si>
    <t>The Intrinsic Unit for any cost element is the quantity most directly related to that cost element, meaning that it is the quantity most unaffected by system parameters other than that quantity. For example, the cost of mechanically mounting a module depends on its size but not its efficiency, so m2 is a more appropriate intrinsic unit than Wdc for that cost. If the cost data in dollars (y) versus the quantity of any cost element (x) is plotted, and the quantity (x) is expressed in the intrinsic units for that cost element, Cost per Intrinsic Unit in column D is the slope of a linear fit to that data.</t>
  </si>
  <si>
    <t>Component</t>
  </si>
  <si>
    <t>Name</t>
  </si>
  <si>
    <t>Fieldwork</t>
  </si>
  <si>
    <t>Officework</t>
  </si>
  <si>
    <t xml:space="preserve">The System Size input parameter in cell A3 on the System sheet defines the size of the system in the units shown. The cost model is designed to allow the same cost parameters to apply across a range of system size, at least within a factor of two of the nominal value provided. The system size input on the System sheet also applies on the SBOS, EBOS, Fieldwork,and Officework sheets. The system size only changes MSP and MMP (see below) if there is at least one non-zero Fixed Cost parameter (see below) on any of these sheets. System size may also affect the annual operation and maintenance (O&amp;M) cost on the O_M sheet if there is a non-zero fixed cost on that sheet. </t>
  </si>
  <si>
    <t>Formula</t>
  </si>
  <si>
    <t>Sheets</t>
  </si>
  <si>
    <t>This is a summary sheet that pulls numbers from the subsequent sheets and generates a column chart display of those values. The only input values are the system size and any market distortions that affect MMP at the component level (e.g., import tariffs on the hardware components).</t>
  </si>
  <si>
    <t>This sheet reflects the cost to manufacture modules and ship them overseas (when that is necessary). It does not include import duties. Fixed costs are annual cost per factory, not cost per module. Changes in factory uptime can be represented by changing the Annual Production value while keeping fixed costs unchanged.</t>
  </si>
  <si>
    <t>This sheet reflects the cost to manufacture inverters and ship them overseas (when that is necessary). It does not include import duties. Fixed costs are annual cost per factory, not cost per inverter. Changes in factory uptime can be represented by changing the Annual Production value while keeping fixed costs unchanged.</t>
  </si>
  <si>
    <t>This sheet reflects the cost to manufacture energy storage systems (ESS) and ship them overseas (when that is necessary). It does not include import duties. Fixed costs are annual cost per factory, not cost per ESS. Changes in factory uptime can be represented by changing the Annual Production value while keeping fixed costs unchanged.</t>
  </si>
  <si>
    <t xml:space="preserve">This sheet reflects the cost of structural balance-of-system (BOS) components. Only hardware costs are included on this sheet. The cost of storing, transporting, and installing these hardware components are included on subsequent sheets. </t>
  </si>
  <si>
    <t xml:space="preserve">This sheet reflects the cost of electrical balance-of-system (BOS) components. Only hardware costs are included on this sheet. The cost of storing, transporting, and installing these hardware components are included on subsequent sheets. </t>
  </si>
  <si>
    <t>This sheet reflects the labor and related costs to install the system that are primarily conducted in the field, rather than in an office environment. Related costs include equipment rental, site preparation, and onsite inspection. Fieldwork performed after the system is commissioned should be entered on the operation and maintenance (O_M) sheet.</t>
  </si>
  <si>
    <t>This sheet does not affect the system capital cost. Rather, it calculates the annualized cost to for systen operation and maintenance (O&amp;M). This sheet may reference hardware cost component costs to estimate the cost to repair or replace those components. All future costs should be translated into an equivalent annualized net present value.</t>
  </si>
  <si>
    <t>Save the txt parameter file to activate any change to the orange fields</t>
  </si>
  <si>
    <t>Maximum 100 factors</t>
  </si>
  <si>
    <t>This sheet reflects the labor and related costs to install the system that are primarily conducted in an office environment. Related costs include warehousing and jurisdictional permit fees. Officework performed after system commissioning should be entered on the operation and maintenance (O_M) sheet. Salaries of management staff should be included on the Other sheet.</t>
  </si>
  <si>
    <t>This sheet captures all system capital costs not included elsewhere, but most commonly it includes management salaries and financial costs associated with the business that is responsible for delivering the completed system to the customer.</t>
  </si>
  <si>
    <t>Include ESS:</t>
  </si>
  <si>
    <t>Include Indirect:</t>
  </si>
  <si>
    <t>Include Indirect</t>
  </si>
  <si>
    <t>Include
ESS</t>
  </si>
  <si>
    <t>MMP:</t>
  </si>
  <si>
    <t>MSP:</t>
  </si>
  <si>
    <t>Value</t>
  </si>
  <si>
    <t>Units</t>
  </si>
  <si>
    <t>Flags</t>
  </si>
  <si>
    <t>The color code shown on most of the sheets is a legend that identifies which cells are user-input fields (yellow), model-definition parameters (orange), input values calculated by a user-supplied formula (gray), or values calculated via a fixed formula (blue). The orange and blue cells are password-protected. The yellow, gray, and orange cells are stored in the txt files that are created using the Save button (see above). The columns for Flags and Comments can contain any useful information. They have no impact on the cost calculation.</t>
  </si>
  <si>
    <t>Values entered on the Factors sheet are used in formulas on the other sheets to convert cost per intrinsic unit into cost per unit based on the system size, factory size, or integrator size. To the extent possible, these factors should be independent of the size of the system, factory, or integrator across a range of at least a factor of two of the nominal size for the type of system described on the System sheet. The values are expressed as unit conversion factors. For example, inverter loading ratio (ILR) is described as a factor that converts a value measured in ac kilowatts into a value measured in dc kilowatts, e.g., ILR = 1.3 kWdc/kWac. The Name given to each factor can be used in formulas on the other sheets. If changes are made to the list of names in orange cells (password protected), the txt file must be saved for the modified name list to be properly recognized.</t>
  </si>
  <si>
    <t>Photovoltaic System Cost Model (PVSCM)
October 2024: compatible with Excel 2019+ and Office 365</t>
  </si>
  <si>
    <t xml:space="preserve">The Fixed Cost parameter on any sheet represents a cost that is nearly the same in dollars regardless of the size (of the system, factory, or integrator) given in cell A3 on that sheet. If the cost data in dollars (y) versus the quantity of any cost element (x) is plotted, the Fixed Cost for that cost element is the y-axis intercept of a linear fit to that data. </t>
  </si>
  <si>
    <t>This TRUE/FALSE selection on the System sheet allows the MSP and MMP to be calculated either with or without an associated energy storage system (ESS). The cost elements that are affected are those that have and E in the Flags column. Note the E flag for ESS is on the System sheet because the ESS tab is entirely ESS cost.</t>
  </si>
  <si>
    <t xml:space="preserve">This TRUE/FALSE selection on the System sheet allows the MSP and MMP to be calculated either with or without indirect cost factors. The cost elements that are affected are those that have formulas that have an I in the Flags column. Note that the I flag for Officework and Other is on the System sheet because Officework and Other are entirely indirect cost. </t>
  </si>
  <si>
    <t>Modeled Market Price. MMP is the actual price in the current market for the representative system being modeled. It differs from MSP due to short-term market distortions including supply-chain constraints and limited-term tariffs or subsidies. If MMP differs from MSP for a cost item, enter the distorted (MMP) value in column G and document it in the Comments column for that cost item. The value for column G is then used in place of column D and the fixed cost for that row is ignored.</t>
  </si>
  <si>
    <t>kWh-cap</t>
  </si>
  <si>
    <t>kWac</t>
  </si>
  <si>
    <t>Lock Formulas</t>
  </si>
  <si>
    <t>This sheet provides the unit conversion factors that are used on all other sheets. For example, to convert a value having units in kWac to the corresponding value having units in kWdc, the multiplier used is that shown in the table for the inverter loading ratio (ILR). The name assigned to each factor can be used on any of the other sheets. Note that factor names cannot have spaces or special characters. If any names are changed or moved within the table, the txt file must be saved for the revision to take effect. In addition to the factors listed, the names IncludeESS and IncludeIndirect are assigned to cells H6:7 on the System sheet, LockFormulas is assigned to cell F2 on the Factors shhet, a name is assigned to the size value on each sheet, names are assigned to the MSP and MMP value on each sheet, and for every component MSP and MMP value on the System sheet. See Excel's Name Manager tab for the complete list of defined cell names. When LockFormulas is TRUE, any cells that contain formulas are protected from editing when a txt file contining those formulas is loaded.</t>
  </si>
  <si>
    <t>Avg. Sales Price</t>
  </si>
  <si>
    <t>Energy Storage</t>
  </si>
  <si>
    <t>E</t>
  </si>
  <si>
    <t>Structural BOS</t>
  </si>
  <si>
    <t>Electrical BOS</t>
  </si>
  <si>
    <t>Labor&amp;Related</t>
  </si>
  <si>
    <t>I</t>
  </si>
  <si>
    <t>Financial, etc.</t>
  </si>
  <si>
    <t>Bifacial c-Si module assembled in SE Asia using cells from SE Asia</t>
  </si>
  <si>
    <t>Cells</t>
  </si>
  <si>
    <t>Distortion: Increased market price related to UFLPA compliance is decreasing with time</t>
  </si>
  <si>
    <t>Frame</t>
  </si>
  <si>
    <t>m</t>
  </si>
  <si>
    <t>Front/Backsheets</t>
  </si>
  <si>
    <t>m2</t>
  </si>
  <si>
    <t>35% for 2.0 mm front glass, 35% for 2.0 mm rear glass, 30% for two sheets of POE encapsulant</t>
  </si>
  <si>
    <t>Other Material</t>
  </si>
  <si>
    <t>module</t>
  </si>
  <si>
    <t>28% J-box, 7% edge seals, 5% pottants, 4% adhesives, 44% ribbons, 12% bypass diodes</t>
  </si>
  <si>
    <t>Labor</t>
  </si>
  <si>
    <t>hour</t>
  </si>
  <si>
    <t>Fixed: Salaried personnel.  Hourly includes benefits/burden.</t>
  </si>
  <si>
    <t>Electricity</t>
  </si>
  <si>
    <t>kWh</t>
  </si>
  <si>
    <t>Fixed: Power for portion of facility that's independent of annual production</t>
  </si>
  <si>
    <t>Depreciation</t>
  </si>
  <si>
    <t>kWdc/yr</t>
  </si>
  <si>
    <t>Depreciation of facility capex estimatd to cost $45M per annual GW of capacity</t>
  </si>
  <si>
    <t>Maintenance</t>
  </si>
  <si>
    <t>Maintenance of facility capex estimated at 4% of facility capex per year</t>
  </si>
  <si>
    <t>Profit</t>
  </si>
  <si>
    <t>Distortion: Profit adjusted to match MMP to observed market price of $336/kWdc</t>
  </si>
  <si>
    <t>Shipping</t>
  </si>
  <si>
    <t>kg</t>
  </si>
  <si>
    <t>Profiled overseas shipping from Panang, pick up at the port of Long Beach, and shipping 750 miles</t>
  </si>
  <si>
    <t>PCB Assemblies</t>
  </si>
  <si>
    <t>Printed circuit board assemblies with components mounted</t>
  </si>
  <si>
    <t>Electrical Parts</t>
  </si>
  <si>
    <t>Climate Control</t>
  </si>
  <si>
    <t>Enclosure</t>
  </si>
  <si>
    <t>Enclosure assembly, packaging</t>
  </si>
  <si>
    <t>Fixed: Salaried supervisory personnel</t>
  </si>
  <si>
    <t>kWac/yr</t>
  </si>
  <si>
    <t>Domestically assembled 3 MWh-cap, 1 MWac, ac-coupled pad-mounted battery cabinets</t>
  </si>
  <si>
    <t>Li-Ion Cells</t>
  </si>
  <si>
    <t>LFP cells from China. Distortion: 301 tariff and 3.4% general duty</t>
  </si>
  <si>
    <t>Battery Packs</t>
  </si>
  <si>
    <t>70% battery management, 30% thermal management</t>
  </si>
  <si>
    <t>Container, racks, fire suppression</t>
  </si>
  <si>
    <t>AC-DC Converter</t>
  </si>
  <si>
    <t>30% PCBAs, 10% Electrical Parts, 10% Climate Control, 10% Enclosure, 40% Domestic Production</t>
  </si>
  <si>
    <t>Representative U.S. rate for commercial loads in Q1 2024</t>
  </si>
  <si>
    <t>kWh-cap/yr</t>
  </si>
  <si>
    <t>Estimated facility capex of $7M per annual GWh of ESS capacity</t>
  </si>
  <si>
    <t>Maintenance of facility capex estimated at 4% per year</t>
  </si>
  <si>
    <t>Distortion: Profit adjusted  to match MMP to observed market price of $228/kWh-cap</t>
  </si>
  <si>
    <t>Passthrough</t>
  </si>
  <si>
    <t>Distortion: Half of 45X used to decrease price to improve competitiveness</t>
  </si>
  <si>
    <t>Driven Piers</t>
  </si>
  <si>
    <t>pier</t>
  </si>
  <si>
    <t>W6x9 or Standard W8 Galvanized I or C Steel Beams</t>
  </si>
  <si>
    <t>Module Rails</t>
  </si>
  <si>
    <t>12' to 16' rails from China. Distortion: Section 301 tariff</t>
  </si>
  <si>
    <t>Fasteners</t>
  </si>
  <si>
    <t>row</t>
  </si>
  <si>
    <t>ESS Pad</t>
  </si>
  <si>
    <t>EI</t>
  </si>
  <si>
    <t>Transformers</t>
  </si>
  <si>
    <t>Conductors</t>
  </si>
  <si>
    <t>Combiner Boxes</t>
  </si>
  <si>
    <t>Grounding</t>
  </si>
  <si>
    <t>EBOS Labor</t>
  </si>
  <si>
    <t>Prevailing wage for electricians. Distortion: Higher wages observed for solar field installation</t>
  </si>
  <si>
    <t>SBOS Labor</t>
  </si>
  <si>
    <t>Prevailing wage for construction. Distortion: Higher wages observed for solar field installation</t>
  </si>
  <si>
    <t>ESS Labor</t>
  </si>
  <si>
    <t>Mix of construction and electrical labor</t>
  </si>
  <si>
    <t>Site Prep</t>
  </si>
  <si>
    <t>Eqpmt Rental</t>
  </si>
  <si>
    <t>Rental of equipment and tools for use by on-site labor</t>
  </si>
  <si>
    <t>Inspection</t>
  </si>
  <si>
    <t>On-site labor to support confirmation of permit compliance</t>
  </si>
  <si>
    <t>Warehousing</t>
  </si>
  <si>
    <t>Distortion: Storage during Customs process for compliance with UFLPA</t>
  </si>
  <si>
    <t>Logistics</t>
  </si>
  <si>
    <t>Engineering</t>
  </si>
  <si>
    <t>Permits</t>
  </si>
  <si>
    <t>Fixed: Permit application fee</t>
  </si>
  <si>
    <t>Other costs related to the operation of the project developer</t>
  </si>
  <si>
    <t>Sales Tax</t>
  </si>
  <si>
    <t>Sales tax is proportional to system hardware cost</t>
  </si>
  <si>
    <t>Contingency</t>
  </si>
  <si>
    <t>Contingency acknowledges there will be cost overruns of unknown origin</t>
  </si>
  <si>
    <t>Management</t>
  </si>
  <si>
    <t>Fixed: Management salaries independent of developer's annual installations</t>
  </si>
  <si>
    <t>Profit required is proportional to total system cost</t>
  </si>
  <si>
    <t>Amortized cost to operate and maintain the system over at 20 year lifetime</t>
  </si>
  <si>
    <t>Cleaning</t>
  </si>
  <si>
    <t>m2-yr</t>
  </si>
  <si>
    <t>Module cleaning, vegetation and pest control</t>
  </si>
  <si>
    <t>New BOS</t>
  </si>
  <si>
    <t>Replacement BOS priced at MSP</t>
  </si>
  <si>
    <t>New Modules</t>
  </si>
  <si>
    <t>Replacement modules priced at MSP</t>
  </si>
  <si>
    <t>New Inverters</t>
  </si>
  <si>
    <t>Replacement inverters priced at MSP</t>
  </si>
  <si>
    <t>New ESS</t>
  </si>
  <si>
    <t>Replacement ESS priced at MSP</t>
  </si>
  <si>
    <t>Land Lease</t>
  </si>
  <si>
    <t>ha-yr</t>
  </si>
  <si>
    <t>Property Tax</t>
  </si>
  <si>
    <t>kWdc-yr</t>
  </si>
  <si>
    <t>Annual property tax over life of system based on MSP</t>
  </si>
  <si>
    <t>Insurance</t>
  </si>
  <si>
    <t>ILR</t>
  </si>
  <si>
    <t>kWac inverter</t>
  </si>
  <si>
    <t>kWdc modules</t>
  </si>
  <si>
    <t>StorageDuration</t>
  </si>
  <si>
    <t>Tariff201</t>
  </si>
  <si>
    <t>$ cost</t>
  </si>
  <si>
    <t>$ tariff</t>
  </si>
  <si>
    <t>Tariff301</t>
  </si>
  <si>
    <t>Tariff301high</t>
  </si>
  <si>
    <t>ModuleEfficiency</t>
  </si>
  <si>
    <t>m2 modules</t>
  </si>
  <si>
    <t>ModuleHeight</t>
  </si>
  <si>
    <t>ModuleWidth</t>
  </si>
  <si>
    <t>ModuleWeight</t>
  </si>
  <si>
    <t>kg modules</t>
  </si>
  <si>
    <t>CellToModule</t>
  </si>
  <si>
    <t>kWdc cells</t>
  </si>
  <si>
    <t>ModuleLabor</t>
  </si>
  <si>
    <t>hours labor</t>
  </si>
  <si>
    <t>ModuleElectricity</t>
  </si>
  <si>
    <t>kWh consumed</t>
  </si>
  <si>
    <t>ModuleDepreciation</t>
  </si>
  <si>
    <t>$ invested</t>
  </si>
  <si>
    <t>$/yr</t>
  </si>
  <si>
    <t>45% equipment and 55% facility</t>
  </si>
  <si>
    <t>ModuleProfitMSP</t>
  </si>
  <si>
    <t>$ profit</t>
  </si>
  <si>
    <t>ModuleMarketPrice</t>
  </si>
  <si>
    <t>$</t>
  </si>
  <si>
    <t>InverterWeight</t>
  </si>
  <si>
    <t>kg inverter</t>
  </si>
  <si>
    <t>InverterLabor</t>
  </si>
  <si>
    <t>InverterElectricity</t>
  </si>
  <si>
    <t>InverterDepreciation</t>
  </si>
  <si>
    <t>50% equipment and 50% facility</t>
  </si>
  <si>
    <t>InverterProfitMSP</t>
  </si>
  <si>
    <t>InverterMarketPrice</t>
  </si>
  <si>
    <t>Battery45X</t>
  </si>
  <si>
    <t>$ credit</t>
  </si>
  <si>
    <t>45X tax credit for battery modules</t>
  </si>
  <si>
    <t>BatteryDuration</t>
  </si>
  <si>
    <t>kWdc battery</t>
  </si>
  <si>
    <t>ESS_ILR</t>
  </si>
  <si>
    <t>kWac ESS</t>
  </si>
  <si>
    <t>ESSWeight</t>
  </si>
  <si>
    <t>kg ESS</t>
  </si>
  <si>
    <t>ESSLabor</t>
  </si>
  <si>
    <t>ESSElectricity</t>
  </si>
  <si>
    <t>ESSDepreciation</t>
  </si>
  <si>
    <t>40% equipment and 60% facility</t>
  </si>
  <si>
    <t>ESSProfitMSP</t>
  </si>
  <si>
    <t>ESSMarketPrice</t>
  </si>
  <si>
    <t>kg tubes</t>
  </si>
  <si>
    <t>FastenerWeight</t>
  </si>
  <si>
    <t>TorqueTubeWeight</t>
  </si>
  <si>
    <t>SBOSshippingWeight</t>
  </si>
  <si>
    <t>PiersPerRow</t>
  </si>
  <si>
    <t>piers</t>
  </si>
  <si>
    <t>RowLength</t>
  </si>
  <si>
    <t>EBOSweight</t>
  </si>
  <si>
    <t>kg EBOS</t>
  </si>
  <si>
    <t>PVElectricalLabor</t>
  </si>
  <si>
    <t>PVConstructionLabor</t>
  </si>
  <si>
    <t>ESSInstallLabor</t>
  </si>
  <si>
    <t>Additional labor when installed with a PV system</t>
  </si>
  <si>
    <t>LaborBurdenRate</t>
  </si>
  <si>
    <t>$ labor</t>
  </si>
  <si>
    <t>$ burden</t>
  </si>
  <si>
    <t>42% worker's comp, insurance, liability + 12% labor overhead</t>
  </si>
  <si>
    <t>SalesTaxRate</t>
  </si>
  <si>
    <t>$ tax</t>
  </si>
  <si>
    <t>ContingencyRate</t>
  </si>
  <si>
    <t>$ reserved</t>
  </si>
  <si>
    <t>OverheadRate</t>
  </si>
  <si>
    <t>$ overhead</t>
  </si>
  <si>
    <t>Costs of business management that are proportional to expenses</t>
  </si>
  <si>
    <t>DeveloperProfitMSP</t>
  </si>
  <si>
    <t>DeveloperProfitMMP</t>
  </si>
  <si>
    <t>PartsLossRate</t>
  </si>
  <si>
    <t>year</t>
  </si>
  <si>
    <t>fraction</t>
  </si>
  <si>
    <t>InverterLossRate</t>
  </si>
  <si>
    <t>ModuleLossRate</t>
  </si>
  <si>
    <t>ESSLossRate</t>
  </si>
  <si>
    <t>LandArea</t>
  </si>
  <si>
    <t>ha land</t>
  </si>
  <si>
    <t>PropertyTaxRate</t>
  </si>
  <si>
    <t>$ tax/year</t>
  </si>
  <si>
    <t>InsuranceRate</t>
  </si>
  <si>
    <t>1.5 - 6 MWdc ground mount fixed tilt racking. site suitable for sheet grazing</t>
  </si>
  <si>
    <t>Chinese three-phase string inverter</t>
  </si>
  <si>
    <t>Discrete capacitors, inductors, cables, circuit protection</t>
  </si>
  <si>
    <t>Facility capex estimated at $6M per GWac of annual capacity</t>
  </si>
  <si>
    <t>Distortion: Profit adjusted to match MMP to observed market price of $75/kWac</t>
  </si>
  <si>
    <t>Tariff</t>
  </si>
  <si>
    <t>Distortion: Section 301 tariff paid by importer</t>
  </si>
  <si>
    <t>Fixed-tilt groung mount system using domestic components</t>
  </si>
  <si>
    <t>Torque Tubes</t>
  </si>
  <si>
    <t>Galvanized steel non-tracking torque tubes</t>
  </si>
  <si>
    <t>End, HL and Center clamps; Washers &amp; screws. Distortion: Section 301 tariff</t>
  </si>
  <si>
    <t>Electrical system components appropriate for a field array connected to a distribution grid</t>
  </si>
  <si>
    <t>Assume 3.5 MVA step up to 11kV</t>
  </si>
  <si>
    <t>Circuit Breaker</t>
  </si>
  <si>
    <t>Disconnects and fuses from China. Distortion: Section 301 tariff</t>
  </si>
  <si>
    <t>4mm and 240mm cables</t>
  </si>
  <si>
    <t>Grounding cables, surge protection device</t>
  </si>
  <si>
    <t>1000V combiner box from China. Distortion: Section 301 tariff</t>
  </si>
  <si>
    <t>Substation Pad</t>
  </si>
  <si>
    <t>Expenses directly related to labor performed at the isntallation site</t>
  </si>
  <si>
    <t>Includes establishment of upfront vegetation and water well for the sheep</t>
  </si>
  <si>
    <t>All costs on this page are Indirect.</t>
  </si>
  <si>
    <t>Fixed: Enginnering salaries independent of system size</t>
  </si>
  <si>
    <t>Interconnection</t>
  </si>
  <si>
    <t>Utility engagement amortized across all proposals. Excludes network upgrade equipment cost</t>
  </si>
  <si>
    <t>Annual property insurance over life of system based on MSP</t>
  </si>
  <si>
    <t>Fixed asset management and security</t>
  </si>
  <si>
    <t>Typical Inverter Load Ratio for Commercial/Industrial systems</t>
  </si>
  <si>
    <t>Ratio of ESS rated dc kWh capacity to PV dc rating</t>
  </si>
  <si>
    <t>Minimum sustainable profit for SE Asian companies</t>
  </si>
  <si>
    <t>Observed Q1 market price</t>
  </si>
  <si>
    <t>Minimum sustainable profit for Chinese entities</t>
  </si>
  <si>
    <t>kg fastners</t>
  </si>
  <si>
    <t>kg SBOS</t>
  </si>
  <si>
    <t>Ratio of ESS rated dc kWh capacity to battery rated dc charge rate</t>
  </si>
  <si>
    <t>Ratio of ESS ac inverter rating to battery rated dc charge rate</t>
  </si>
  <si>
    <t>Minimum sustainable profit for U.S. companies</t>
  </si>
  <si>
    <t>Assuming lower labor efficiency for commercial size projects</t>
  </si>
  <si>
    <t>$ premiums/year</t>
  </si>
  <si>
    <t>FixedAxis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</si>
</sst>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44" formatCode="_(&quot;$&quot;* #,##0.00_);_(&quot;$&quot;* \(#,##0.00\);_(&quot;$&quot;* &quot;-&quot;??_);_(@_)"/>
    <numFmt numFmtId="43" formatCode="_(* #,##0.00_);_(* \(#,##0.00\);_(* &quot;-&quot;??_);_(@_)"/>
    <numFmt numFmtId="164" formatCode="_(&quot;$&quot;* #,##0_);_(&quot;$&quot;* \(#,##0\);_(&quot;$&quot;* &quot;-&quot;??_);_(@_)"/>
    <numFmt numFmtId="165" formatCode="_(* #,##0_);_(* \(#,##0\);_(* &quot;-&quot;??_);_(@_)"/>
    <numFmt numFmtId="166" formatCode="_(* #,##0.000_);_(* \(#,##0.000\);_(* &quot;-&quot;??_);_(@_)"/>
  </numFmts>
  <fonts count="13">
    <font>
      <sz val="11"/>
      <color theme="1"/>
      <name val="Calibri"/>
      <family val="2"/>
      <scheme val="minor"/>
    </font>
    <font>
      <sz val="11"/>
      <color theme="1"/>
      <name val="Calibri"/>
      <family val="2"/>
      <scheme val="minor"/>
    </font>
    <font>
      <b/>
      <sz val="11"/>
      <color theme="1"/>
      <name val="Calibri"/>
      <family val="2"/>
      <scheme val="minor"/>
    </font>
    <font>
      <sz val="11"/>
      <name val="Calibri"/>
      <family val="2"/>
      <scheme val="minor"/>
    </font>
    <font>
      <sz val="11"/>
      <color rgb="FF000000"/>
      <name val="Calibri"/>
      <family val="2"/>
    </font>
    <font>
      <b/>
      <sz val="11"/>
      <name val="Calibri"/>
      <family val="2"/>
      <scheme val="minor"/>
    </font>
    <font>
      <b/>
      <sz val="5"/>
      <color rgb="FF202124"/>
      <name val="Roboto"/>
    </font>
    <font>
      <b/>
      <sz val="9"/>
      <color indexed="81"/>
      <name val="Tahoma"/>
      <family val="2"/>
    </font>
    <font>
      <b/>
      <sz val="11"/>
      <color theme="0"/>
      <name val="Calibri"/>
      <family val="2"/>
      <scheme val="minor"/>
    </font>
    <font>
      <sz val="8"/>
      <name val="Calibri"/>
      <family val="2"/>
      <scheme val="minor"/>
    </font>
    <font>
      <b/>
      <i/>
      <sz val="11"/>
      <color theme="0"/>
      <name val="Calibri"/>
      <family val="2"/>
      <scheme val="minor"/>
    </font>
    <font>
      <sz val="9"/>
      <color indexed="81"/>
      <name val="Tahoma"/>
      <family val="2"/>
    </font>
    <font>
      <i/>
      <sz val="11"/>
      <color theme="1"/>
      <name val="Calibri"/>
      <family val="2"/>
      <scheme val="minor"/>
    </font>
  </fonts>
  <fills count="11">
    <fill>
      <patternFill patternType="none"/>
    </fill>
    <fill>
      <patternFill patternType="gray125"/>
    </fill>
    <fill>
      <patternFill patternType="solid">
        <fgColor theme="8" tint="0.79998168889431442"/>
        <bgColor indexed="64"/>
      </patternFill>
    </fill>
    <fill>
      <patternFill patternType="solid">
        <fgColor theme="4" tint="0.79998168889431442"/>
        <bgColor indexed="64"/>
      </patternFill>
    </fill>
    <fill>
      <patternFill patternType="solid">
        <fgColor theme="7" tint="0.79998168889431442"/>
        <bgColor indexed="64"/>
      </patternFill>
    </fill>
    <fill>
      <patternFill patternType="solid">
        <fgColor theme="6" tint="0.79998168889431442"/>
        <bgColor indexed="64"/>
      </patternFill>
    </fill>
    <fill>
      <patternFill patternType="solid">
        <fgColor rgb="FF00B0F0"/>
        <bgColor indexed="64"/>
      </patternFill>
    </fill>
    <fill>
      <patternFill patternType="solid">
        <fgColor rgb="FFFFF2CC"/>
        <bgColor indexed="64"/>
      </patternFill>
    </fill>
    <fill>
      <patternFill patternType="solid">
        <fgColor rgb="FFFFFF99"/>
        <bgColor indexed="64"/>
      </patternFill>
    </fill>
    <fill>
      <patternFill patternType="solid">
        <fgColor theme="9" tint="0.79998168889431442"/>
        <bgColor indexed="64"/>
      </patternFill>
    </fill>
    <fill>
      <patternFill patternType="solid">
        <fgColor rgb="FFDDDDFF"/>
        <bgColor indexed="64"/>
      </patternFill>
    </fill>
  </fills>
  <borders count="5">
    <border>
      <left/>
      <right/>
      <top/>
      <bottom/>
      <diagonal/>
    </border>
    <border>
      <left/>
      <right/>
      <top style="thick">
        <color auto="1"/>
      </top>
      <bottom style="thick">
        <color auto="1"/>
      </bottom>
      <diagonal/>
    </border>
    <border>
      <left/>
      <right style="thick">
        <color theme="0"/>
      </right>
      <top/>
      <bottom/>
      <diagonal/>
    </border>
    <border>
      <left style="thick">
        <color theme="0"/>
      </left>
      <right style="thick">
        <color theme="0"/>
      </right>
      <top/>
      <bottom/>
      <diagonal/>
    </border>
    <border>
      <left style="thick">
        <color theme="0"/>
      </left>
      <right/>
      <top/>
      <bottom/>
      <diagonal/>
    </border>
  </borders>
  <cellStyleXfs count="3">
    <xf numFmtId="0" fontId="0" fillId="0" borderId="0"/>
    <xf numFmtId="44" fontId="1" fillId="0" borderId="0" applyFont="0" applyFill="0" applyBorder="0" applyAlignment="0" applyProtection="0"/>
    <xf numFmtId="43" fontId="1" fillId="0" borderId="0" applyFont="0" applyFill="0" applyBorder="0" applyAlignment="0" applyProtection="0"/>
  </cellStyleXfs>
  <cellXfs count="76">
    <xf numFmtId="0" fontId="0" fillId="0" borderId="0" xfId="0"/>
    <xf numFmtId="0" fontId="0" fillId="0" borderId="0" xfId="0" applyProtection="1">
      <protection locked="0"/>
    </xf>
    <xf numFmtId="0" fontId="0" fillId="8" borderId="0" xfId="0" applyFill="1" applyProtection="1">
      <protection locked="0"/>
    </xf>
    <xf numFmtId="0" fontId="0" fillId="0" borderId="0" xfId="0" applyAlignment="1" applyProtection="1">
      <alignment wrapText="1"/>
      <protection locked="0"/>
    </xf>
    <xf numFmtId="44" fontId="1" fillId="8" borderId="0" xfId="1" applyFont="1" applyFill="1" applyProtection="1">
      <protection locked="0"/>
    </xf>
    <xf numFmtId="44" fontId="0" fillId="8" borderId="0" xfId="1" applyFont="1" applyFill="1" applyProtection="1">
      <protection locked="0"/>
    </xf>
    <xf numFmtId="164" fontId="1" fillId="8" borderId="0" xfId="1" applyNumberFormat="1" applyFont="1" applyFill="1" applyProtection="1">
      <protection locked="0"/>
    </xf>
    <xf numFmtId="44" fontId="1" fillId="2" borderId="0" xfId="1" applyFont="1" applyFill="1" applyProtection="1"/>
    <xf numFmtId="44" fontId="2" fillId="3" borderId="0" xfId="1" applyFont="1" applyFill="1" applyProtection="1"/>
    <xf numFmtId="165" fontId="0" fillId="8" borderId="0" xfId="2" applyNumberFormat="1" applyFont="1" applyFill="1" applyProtection="1">
      <protection locked="0"/>
    </xf>
    <xf numFmtId="44" fontId="0" fillId="8" borderId="0" xfId="0" applyNumberFormat="1" applyFill="1" applyProtection="1">
      <protection locked="0"/>
    </xf>
    <xf numFmtId="44" fontId="0" fillId="0" borderId="0" xfId="1" applyFont="1" applyFill="1" applyProtection="1">
      <protection locked="0"/>
    </xf>
    <xf numFmtId="44" fontId="0" fillId="2" borderId="0" xfId="1" applyFont="1" applyFill="1" applyProtection="1"/>
    <xf numFmtId="0" fontId="0" fillId="7" borderId="0" xfId="0" applyFill="1"/>
    <xf numFmtId="0" fontId="8" fillId="6" borderId="0" xfId="0" applyFont="1" applyFill="1" applyAlignment="1">
      <alignment horizontal="center"/>
    </xf>
    <xf numFmtId="0" fontId="0" fillId="0" borderId="0" xfId="0" applyAlignment="1">
      <alignment horizontal="right"/>
    </xf>
    <xf numFmtId="0" fontId="0" fillId="8" borderId="0" xfId="0" applyFill="1"/>
    <xf numFmtId="0" fontId="0" fillId="4" borderId="0" xfId="0" applyFill="1"/>
    <xf numFmtId="0" fontId="0" fillId="5" borderId="0" xfId="0" applyFill="1"/>
    <xf numFmtId="0" fontId="0" fillId="2" borderId="0" xfId="0" applyFill="1"/>
    <xf numFmtId="0" fontId="6" fillId="0" borderId="0" xfId="0" applyFont="1"/>
    <xf numFmtId="0" fontId="2" fillId="0" borderId="0" xfId="0" applyFont="1" applyAlignment="1">
      <alignment wrapText="1"/>
    </xf>
    <xf numFmtId="0" fontId="0" fillId="0" borderId="0" xfId="0" applyAlignment="1">
      <alignment horizontal="center" wrapText="1"/>
    </xf>
    <xf numFmtId="0" fontId="0" fillId="0" borderId="0" xfId="0" applyAlignment="1">
      <alignment wrapText="1"/>
    </xf>
    <xf numFmtId="164" fontId="0" fillId="7" borderId="0" xfId="1" applyNumberFormat="1" applyFont="1" applyFill="1" applyAlignment="1" applyProtection="1">
      <alignment horizontal="center"/>
    </xf>
    <xf numFmtId="0" fontId="5" fillId="0" borderId="0" xfId="0" applyFont="1"/>
    <xf numFmtId="0" fontId="3" fillId="0" borderId="0" xfId="0" applyFont="1"/>
    <xf numFmtId="0" fontId="0" fillId="0" borderId="0" xfId="0" applyAlignment="1">
      <alignment horizontal="center"/>
    </xf>
    <xf numFmtId="164" fontId="0" fillId="4" borderId="0" xfId="1" applyNumberFormat="1" applyFont="1" applyFill="1" applyAlignment="1" applyProtection="1">
      <alignment horizontal="center"/>
    </xf>
    <xf numFmtId="43" fontId="0" fillId="4" borderId="0" xfId="2" applyFont="1" applyFill="1" applyAlignment="1" applyProtection="1">
      <alignment horizontal="center"/>
    </xf>
    <xf numFmtId="166" fontId="0" fillId="4" borderId="0" xfId="2" applyNumberFormat="1" applyFont="1" applyFill="1" applyProtection="1"/>
    <xf numFmtId="0" fontId="0" fillId="0" borderId="0" xfId="0" applyAlignment="1">
      <alignment horizontal="right" vertical="center"/>
    </xf>
    <xf numFmtId="165" fontId="1" fillId="8" borderId="0" xfId="2" applyNumberFormat="1" applyFont="1" applyFill="1" applyProtection="1">
      <protection locked="0"/>
    </xf>
    <xf numFmtId="0" fontId="0" fillId="7" borderId="0" xfId="0" applyFill="1" applyProtection="1">
      <protection locked="0"/>
    </xf>
    <xf numFmtId="164" fontId="1" fillId="7" borderId="0" xfId="1" applyNumberFormat="1" applyFont="1" applyFill="1" applyProtection="1"/>
    <xf numFmtId="0" fontId="2" fillId="7" borderId="0" xfId="0" applyFont="1" applyFill="1"/>
    <xf numFmtId="0" fontId="12" fillId="0" borderId="0" xfId="0" applyFont="1"/>
    <xf numFmtId="0" fontId="0" fillId="7" borderId="0" xfId="0" applyFill="1" applyAlignment="1">
      <alignment horizontal="center"/>
    </xf>
    <xf numFmtId="0" fontId="3" fillId="7" borderId="0" xfId="0" applyFont="1" applyFill="1" applyAlignment="1">
      <alignment horizontal="center"/>
    </xf>
    <xf numFmtId="0" fontId="0" fillId="0" borderId="0" xfId="0" applyAlignment="1" applyProtection="1">
      <alignment vertical="top" wrapText="1"/>
      <protection locked="0"/>
    </xf>
    <xf numFmtId="0" fontId="8" fillId="6" borderId="0" xfId="0" applyFont="1" applyFill="1" applyAlignment="1">
      <alignment horizontal="center" vertical="center"/>
    </xf>
    <xf numFmtId="0" fontId="8" fillId="0" borderId="0" xfId="0" applyFont="1" applyAlignment="1">
      <alignment horizontal="center"/>
    </xf>
    <xf numFmtId="0" fontId="2" fillId="7" borderId="0" xfId="0" applyFont="1" applyFill="1" applyAlignment="1">
      <alignment horizontal="center" wrapText="1"/>
    </xf>
    <xf numFmtId="0" fontId="2" fillId="2" borderId="1" xfId="0" applyFont="1" applyFill="1" applyBorder="1" applyAlignment="1">
      <alignment horizontal="right" vertical="top" wrapText="1"/>
    </xf>
    <xf numFmtId="0" fontId="2" fillId="0" borderId="1" xfId="0" applyFont="1" applyBorder="1" applyAlignment="1">
      <alignment horizontal="right" vertical="top" wrapText="1"/>
    </xf>
    <xf numFmtId="0" fontId="0" fillId="2" borderId="1" xfId="0" applyFill="1" applyBorder="1" applyAlignment="1">
      <alignment vertical="top" wrapText="1"/>
    </xf>
    <xf numFmtId="0" fontId="2" fillId="9" borderId="1" xfId="0" applyFont="1" applyFill="1" applyBorder="1" applyAlignment="1">
      <alignment horizontal="right" vertical="top" wrapText="1"/>
    </xf>
    <xf numFmtId="0" fontId="0" fillId="9" borderId="1" xfId="0" applyFill="1" applyBorder="1" applyAlignment="1">
      <alignment vertical="top" wrapText="1"/>
    </xf>
    <xf numFmtId="44" fontId="1" fillId="7" borderId="0" xfId="1" applyFont="1" applyFill="1" applyProtection="1"/>
    <xf numFmtId="44" fontId="0" fillId="7" borderId="0" xfId="1" applyFont="1" applyFill="1" applyProtection="1"/>
    <xf numFmtId="0" fontId="2" fillId="9" borderId="0" xfId="0" applyFont="1" applyFill="1" applyAlignment="1" applyProtection="1">
      <alignment horizontal="right" vertical="top"/>
      <protection locked="0"/>
    </xf>
    <xf numFmtId="0" fontId="2" fillId="2" borderId="0" xfId="0" applyFont="1" applyFill="1" applyAlignment="1" applyProtection="1">
      <alignment horizontal="right" vertical="top"/>
      <protection locked="0"/>
    </xf>
    <xf numFmtId="0" fontId="0" fillId="9" borderId="0" xfId="0" applyFill="1" applyAlignment="1" applyProtection="1">
      <alignment wrapText="1"/>
      <protection locked="0"/>
    </xf>
    <xf numFmtId="0" fontId="0" fillId="2" borderId="0" xfId="0" applyFill="1" applyAlignment="1" applyProtection="1">
      <alignment wrapText="1"/>
      <protection locked="0"/>
    </xf>
    <xf numFmtId="0" fontId="0" fillId="10" borderId="0" xfId="0" applyFill="1" applyAlignment="1" applyProtection="1">
      <alignment horizontal="center"/>
      <protection locked="0"/>
    </xf>
    <xf numFmtId="0" fontId="10" fillId="6" borderId="2" xfId="0" applyFont="1" applyFill="1" applyBorder="1"/>
    <xf numFmtId="0" fontId="10" fillId="6" borderId="3" xfId="0" applyFont="1" applyFill="1" applyBorder="1"/>
    <xf numFmtId="0" fontId="10" fillId="6" borderId="3" xfId="0" applyFont="1" applyFill="1" applyBorder="1" applyAlignment="1">
      <alignment horizontal="center"/>
    </xf>
    <xf numFmtId="0" fontId="0" fillId="8" borderId="0" xfId="0" applyFill="1" applyAlignment="1" applyProtection="1">
      <alignment horizontal="center"/>
      <protection locked="0"/>
    </xf>
    <xf numFmtId="0" fontId="0" fillId="2" borderId="0" xfId="0" applyFill="1" applyProtection="1">
      <protection locked="0"/>
    </xf>
    <xf numFmtId="0" fontId="2" fillId="0" borderId="0" xfId="0" applyFont="1" applyAlignment="1">
      <alignment horizontal="center"/>
    </xf>
    <xf numFmtId="0" fontId="0" fillId="7" borderId="0" xfId="0" applyFill="1" applyAlignment="1" applyProtection="1">
      <alignment horizontal="center"/>
      <protection locked="0"/>
    </xf>
    <xf numFmtId="165" fontId="0" fillId="7" borderId="0" xfId="2" applyNumberFormat="1" applyFont="1" applyFill="1" applyProtection="1"/>
    <xf numFmtId="165" fontId="0" fillId="8" borderId="0" xfId="2" applyNumberFormat="1" applyFont="1" applyFill="1" applyProtection="1"/>
    <xf numFmtId="0" fontId="0" fillId="0" borderId="0" xfId="0" applyAlignment="1" applyProtection="1">
      <alignment horizontal="center" wrapText="1"/>
      <protection locked="0"/>
    </xf>
    <xf numFmtId="164" fontId="0" fillId="7" borderId="0" xfId="1" applyNumberFormat="1" applyFont="1" applyFill="1" applyProtection="1"/>
    <xf numFmtId="44" fontId="1" fillId="8" borderId="0" xfId="1" applyFont="1" applyFill="1" applyProtection="1"/>
    <xf numFmtId="44" fontId="0" fillId="8" borderId="0" xfId="1" applyFont="1" applyFill="1" applyProtection="1"/>
    <xf numFmtId="0" fontId="3" fillId="7" borderId="0" xfId="0" applyFont="1" applyFill="1" applyAlignment="1">
      <alignment horizontal="left" vertical="center"/>
    </xf>
    <xf numFmtId="0" fontId="0" fillId="7" borderId="0" xfId="0" applyFill="1" applyAlignment="1">
      <alignment horizontal="left" vertical="center"/>
    </xf>
    <xf numFmtId="0" fontId="0" fillId="8" borderId="0" xfId="0" applyFill="1" applyAlignment="1" applyProtection="1">
      <alignment horizontal="left" vertical="top" wrapText="1"/>
      <protection locked="0"/>
    </xf>
    <xf numFmtId="0" fontId="2" fillId="0" borderId="0" xfId="0" applyFont="1" applyAlignment="1">
      <alignment horizontal="center"/>
    </xf>
    <xf numFmtId="0" fontId="0" fillId="8" borderId="0" xfId="0" applyFill="1" applyAlignment="1" applyProtection="1">
      <alignment horizontal="left" vertical="top"/>
      <protection locked="0"/>
    </xf>
    <xf numFmtId="0" fontId="10" fillId="6" borderId="3" xfId="0" applyFont="1" applyFill="1" applyBorder="1" applyAlignment="1">
      <alignment horizontal="center"/>
    </xf>
    <xf numFmtId="0" fontId="10" fillId="6" borderId="4" xfId="0" applyFont="1" applyFill="1" applyBorder="1" applyAlignment="1">
      <alignment horizontal="center"/>
    </xf>
    <xf numFmtId="44" fontId="0" fillId="8" borderId="0" xfId="0" applyNumberFormat="1" applyFill="1" applyProtection="1"/>
  </cellXfs>
  <cellStyles count="3">
    <cellStyle name="Comma" xfId="2" builtinId="3"/>
    <cellStyle name="Currency" xfId="1" builtinId="4"/>
    <cellStyle name="Normal" xfId="0" builtinId="0"/>
  </cellStyles>
  <dxfs count="42">
    <dxf>
      <fill>
        <patternFill>
          <bgColor theme="6" tint="0.79998168889431442"/>
        </patternFill>
      </fill>
    </dxf>
    <dxf>
      <fill>
        <patternFill>
          <bgColor theme="0" tint="-4.9989318521683403E-2"/>
        </patternFill>
      </fill>
    </dxf>
    <dxf>
      <fill>
        <patternFill>
          <bgColor theme="6" tint="0.7999816888943144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6" tint="0.7999816888943144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6" tint="0.79998168889431442"/>
        </patternFill>
      </fill>
    </dxf>
    <dxf>
      <fill>
        <patternFill>
          <bgColor theme="0" tint="-4.9989318521683403E-2"/>
        </patternFill>
      </fill>
    </dxf>
    <dxf>
      <fill>
        <patternFill>
          <bgColor theme="6" tint="0.7999816888943144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6" tint="0.79998168889431442"/>
        </patternFill>
      </fill>
    </dxf>
    <dxf>
      <fill>
        <patternFill>
          <bgColor theme="0" tint="-4.9989318521683403E-2"/>
        </patternFill>
      </fill>
    </dxf>
    <dxf>
      <fill>
        <patternFill>
          <bgColor theme="0" tint="-4.9989318521683403E-2"/>
        </patternFill>
      </fill>
    </dxf>
    <dxf>
      <fill>
        <patternFill>
          <bgColor theme="6" tint="0.79998168889431442"/>
        </patternFill>
      </fill>
    </dxf>
    <dxf>
      <fill>
        <patternFill>
          <bgColor theme="0" tint="-4.9989318521683403E-2"/>
        </patternFill>
      </fill>
    </dxf>
    <dxf>
      <fill>
        <patternFill>
          <bgColor theme="6" tint="0.79998168889431442"/>
        </patternFill>
      </fill>
    </dxf>
    <dxf>
      <fill>
        <patternFill>
          <bgColor theme="0" tint="-4.9989318521683403E-2"/>
        </patternFill>
      </fill>
    </dxf>
    <dxf>
      <fill>
        <patternFill>
          <bgColor theme="6" tint="0.79998168889431442"/>
        </patternFill>
      </fill>
    </dxf>
    <dxf>
      <fill>
        <patternFill>
          <bgColor theme="0" tint="-4.9989318521683403E-2"/>
        </patternFill>
      </fill>
    </dxf>
    <dxf>
      <fill>
        <patternFill>
          <bgColor theme="6" tint="0.79998168889431442"/>
        </patternFill>
      </fill>
    </dxf>
    <dxf>
      <fill>
        <patternFill>
          <bgColor theme="0" tint="-4.9989318521683403E-2"/>
        </patternFill>
      </fill>
    </dxf>
    <dxf>
      <fill>
        <patternFill>
          <bgColor theme="6" tint="0.79998168889431442"/>
        </patternFill>
      </fill>
    </dxf>
    <dxf>
      <fill>
        <patternFill>
          <bgColor theme="0" tint="-4.9989318521683403E-2"/>
        </patternFill>
      </fill>
    </dxf>
  </dxfs>
  <tableStyles count="0" defaultTableStyle="TableStyleMedium2" defaultPivotStyle="PivotStyleLight16"/>
  <colors>
    <mruColors>
      <color rgb="FFE2AC00"/>
      <color rgb="FFFFFF99"/>
      <color rgb="FFFFF2CC"/>
      <color rgb="FFDDDDFF"/>
      <color rgb="FFCCCCFF"/>
      <color rgb="FFFCE4D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stacked"/>
        <c:varyColors val="0"/>
        <c:ser>
          <c:idx val="0"/>
          <c:order val="0"/>
          <c:tx>
            <c:strRef>
              <c:f>System!$A$10</c:f>
              <c:strCache>
                <c:ptCount val="1"/>
                <c:pt idx="0">
                  <c:v>Module</c:v>
                </c:pt>
              </c:strCache>
            </c:strRef>
          </c:tx>
          <c:spPr>
            <a:solidFill>
              <a:schemeClr val="accent1"/>
            </a:solidFill>
            <a:ln>
              <a:noFill/>
            </a:ln>
            <a:effectLst/>
          </c:spPr>
          <c:invertIfNegative val="0"/>
          <c:dLbls>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Lit>
              <c:ptCount val="2"/>
              <c:pt idx="0">
                <c:v>MSP</c:v>
              </c:pt>
              <c:pt idx="1">
                <c:v>MMP</c:v>
              </c:pt>
            </c:strLit>
          </c:cat>
          <c:val>
            <c:numRef>
              <c:f>(System!$F$10,System!$H$10)</c:f>
              <c:numCache>
                <c:formatCode>_("$"* #,##0.00_);_("$"* \(#,##0.00\);_("$"* "-"??_);_(@_)</c:formatCode>
                <c:ptCount val="2"/>
                <c:pt idx="0">
                  <c:v>234.70117925046463</c:v>
                </c:pt>
                <c:pt idx="1">
                  <c:v>336</c:v>
                </c:pt>
              </c:numCache>
            </c:numRef>
          </c:val>
          <c:extLst>
            <c:ext xmlns:c16="http://schemas.microsoft.com/office/drawing/2014/chart" uri="{C3380CC4-5D6E-409C-BE32-E72D297353CC}">
              <c16:uniqueId val="{00000000-81DD-4574-8C35-11B43B2AA5E5}"/>
            </c:ext>
          </c:extLst>
        </c:ser>
        <c:ser>
          <c:idx val="1"/>
          <c:order val="1"/>
          <c:tx>
            <c:strRef>
              <c:f>System!$A$11</c:f>
              <c:strCache>
                <c:ptCount val="1"/>
                <c:pt idx="0">
                  <c:v>Inverter</c:v>
                </c:pt>
              </c:strCache>
            </c:strRef>
          </c:tx>
          <c:spPr>
            <a:solidFill>
              <a:schemeClr val="accent2"/>
            </a:solidFill>
            <a:ln>
              <a:noFill/>
            </a:ln>
            <a:effectLst/>
          </c:spPr>
          <c:invertIfNegative val="0"/>
          <c:dLbls>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Lit>
              <c:ptCount val="2"/>
              <c:pt idx="0">
                <c:v>MSP</c:v>
              </c:pt>
              <c:pt idx="1">
                <c:v>MMP</c:v>
              </c:pt>
            </c:strLit>
          </c:cat>
          <c:val>
            <c:numRef>
              <c:f>(System!$F$11,System!$H$11)</c:f>
              <c:numCache>
                <c:formatCode>_("$"* #,##0.00_);_("$"* \(#,##0.00\);_("$"* "-"??_);_(@_)</c:formatCode>
                <c:ptCount val="2"/>
                <c:pt idx="0">
                  <c:v>46.131284671532846</c:v>
                </c:pt>
                <c:pt idx="1">
                  <c:v>54.744525547445264</c:v>
                </c:pt>
              </c:numCache>
            </c:numRef>
          </c:val>
          <c:extLst>
            <c:ext xmlns:c16="http://schemas.microsoft.com/office/drawing/2014/chart" uri="{C3380CC4-5D6E-409C-BE32-E72D297353CC}">
              <c16:uniqueId val="{00000001-81DD-4574-8C35-11B43B2AA5E5}"/>
            </c:ext>
          </c:extLst>
        </c:ser>
        <c:ser>
          <c:idx val="2"/>
          <c:order val="2"/>
          <c:tx>
            <c:strRef>
              <c:f>System!$A$12</c:f>
              <c:strCache>
                <c:ptCount val="1"/>
                <c:pt idx="0">
                  <c:v>ESS</c:v>
                </c:pt>
              </c:strCache>
            </c:strRef>
          </c:tx>
          <c:spPr>
            <a:solidFill>
              <a:schemeClr val="accent3"/>
            </a:solidFill>
            <a:ln>
              <a:noFill/>
            </a:ln>
            <a:effectLst/>
          </c:spPr>
          <c:invertIfNegative val="0"/>
          <c:dLbls>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Lit>
              <c:ptCount val="2"/>
              <c:pt idx="0">
                <c:v>MSP</c:v>
              </c:pt>
              <c:pt idx="1">
                <c:v>MMP</c:v>
              </c:pt>
            </c:strLit>
          </c:cat>
          <c:val>
            <c:numRef>
              <c:f>(System!$F$12,System!$H$12)</c:f>
              <c:numCache>
                <c:formatCode>_("$"* #,##0.00_);_("$"* \(#,##0.00\);_("$"* "-"??_);_(@_)</c:formatCode>
                <c:ptCount val="2"/>
                <c:pt idx="0">
                  <c:v>0</c:v>
                </c:pt>
                <c:pt idx="1">
                  <c:v>0</c:v>
                </c:pt>
              </c:numCache>
            </c:numRef>
          </c:val>
          <c:extLst>
            <c:ext xmlns:c16="http://schemas.microsoft.com/office/drawing/2014/chart" uri="{C3380CC4-5D6E-409C-BE32-E72D297353CC}">
              <c16:uniqueId val="{00000002-81DD-4574-8C35-11B43B2AA5E5}"/>
            </c:ext>
          </c:extLst>
        </c:ser>
        <c:ser>
          <c:idx val="6"/>
          <c:order val="3"/>
          <c:tx>
            <c:strRef>
              <c:f>System!$A$13</c:f>
              <c:strCache>
                <c:ptCount val="1"/>
                <c:pt idx="0">
                  <c:v>SBOS</c:v>
                </c:pt>
              </c:strCache>
            </c:strRef>
          </c:tx>
          <c:spPr>
            <a:solidFill>
              <a:schemeClr val="accent1">
                <a:lumMod val="60000"/>
              </a:schemeClr>
            </a:solidFill>
            <a:ln>
              <a:noFill/>
            </a:ln>
            <a:effectLst/>
          </c:spPr>
          <c:invertIfNegative val="0"/>
          <c:dLbls>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Lit>
              <c:ptCount val="2"/>
              <c:pt idx="0">
                <c:v>MSP</c:v>
              </c:pt>
              <c:pt idx="1">
                <c:v>MMP</c:v>
              </c:pt>
            </c:strLit>
          </c:cat>
          <c:val>
            <c:numRef>
              <c:f>(System!$F$13,System!$H$13)</c:f>
              <c:numCache>
                <c:formatCode>_("$"* #,##0.00_);_("$"* \(#,##0.00\);_("$"* "-"??_);_(@_)</c:formatCode>
                <c:ptCount val="2"/>
                <c:pt idx="0">
                  <c:v>148.06152334506217</c:v>
                </c:pt>
                <c:pt idx="1">
                  <c:v>150.32945528223496</c:v>
                </c:pt>
              </c:numCache>
            </c:numRef>
          </c:val>
          <c:extLst>
            <c:ext xmlns:c16="http://schemas.microsoft.com/office/drawing/2014/chart" uri="{C3380CC4-5D6E-409C-BE32-E72D297353CC}">
              <c16:uniqueId val="{00000000-B95C-4C22-AEB8-78C3A2BA26D7}"/>
            </c:ext>
          </c:extLst>
        </c:ser>
        <c:ser>
          <c:idx val="7"/>
          <c:order val="4"/>
          <c:tx>
            <c:strRef>
              <c:f>System!$A$14</c:f>
              <c:strCache>
                <c:ptCount val="1"/>
                <c:pt idx="0">
                  <c:v>EBOS</c:v>
                </c:pt>
              </c:strCache>
            </c:strRef>
          </c:tx>
          <c:spPr>
            <a:solidFill>
              <a:schemeClr val="accent2">
                <a:lumMod val="60000"/>
              </a:schemeClr>
            </a:solidFill>
            <a:ln>
              <a:noFill/>
            </a:ln>
            <a:effectLst/>
          </c:spPr>
          <c:invertIfNegative val="0"/>
          <c:dLbls>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Lit>
              <c:ptCount val="2"/>
              <c:pt idx="0">
                <c:v>MSP</c:v>
              </c:pt>
              <c:pt idx="1">
                <c:v>MMP</c:v>
              </c:pt>
            </c:strLit>
          </c:cat>
          <c:val>
            <c:numRef>
              <c:f>(System!$F$14,System!$H$14)</c:f>
              <c:numCache>
                <c:formatCode>_("$"* #,##0.00_);_("$"* \(#,##0.00\);_("$"* "-"??_);_(@_)</c:formatCode>
                <c:ptCount val="2"/>
                <c:pt idx="0">
                  <c:v>183.21167883211677</c:v>
                </c:pt>
                <c:pt idx="1">
                  <c:v>194.16058394160584</c:v>
                </c:pt>
              </c:numCache>
            </c:numRef>
          </c:val>
          <c:extLst>
            <c:ext xmlns:c16="http://schemas.microsoft.com/office/drawing/2014/chart" uri="{C3380CC4-5D6E-409C-BE32-E72D297353CC}">
              <c16:uniqueId val="{00000000-45A6-4199-AC86-8230147CFD6B}"/>
            </c:ext>
          </c:extLst>
        </c:ser>
        <c:ser>
          <c:idx val="3"/>
          <c:order val="5"/>
          <c:tx>
            <c:strRef>
              <c:f>System!$A$15</c:f>
              <c:strCache>
                <c:ptCount val="1"/>
                <c:pt idx="0">
                  <c:v>Fieldwork</c:v>
                </c:pt>
              </c:strCache>
            </c:strRef>
          </c:tx>
          <c:spPr>
            <a:solidFill>
              <a:srgbClr val="E2AC00"/>
            </a:solidFill>
            <a:ln>
              <a:noFill/>
            </a:ln>
            <a:effectLst/>
          </c:spPr>
          <c:invertIfNegative val="0"/>
          <c:dLbls>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Lit>
              <c:ptCount val="2"/>
              <c:pt idx="0">
                <c:v>MSP</c:v>
              </c:pt>
              <c:pt idx="1">
                <c:v>MMP</c:v>
              </c:pt>
            </c:strLit>
          </c:cat>
          <c:val>
            <c:numRef>
              <c:f>(System!$F$15,System!$H$15)</c:f>
              <c:numCache>
                <c:formatCode>_("$"* #,##0.00_);_("$"* \(#,##0.00\);_("$"* "-"??_);_(@_)</c:formatCode>
                <c:ptCount val="2"/>
                <c:pt idx="0">
                  <c:v>661.56185316698668</c:v>
                </c:pt>
                <c:pt idx="1">
                  <c:v>681.46635316698666</c:v>
                </c:pt>
              </c:numCache>
            </c:numRef>
          </c:val>
          <c:extLst>
            <c:ext xmlns:c16="http://schemas.microsoft.com/office/drawing/2014/chart" uri="{C3380CC4-5D6E-409C-BE32-E72D297353CC}">
              <c16:uniqueId val="{00000003-81DD-4574-8C35-11B43B2AA5E5}"/>
            </c:ext>
          </c:extLst>
        </c:ser>
        <c:ser>
          <c:idx val="4"/>
          <c:order val="6"/>
          <c:tx>
            <c:strRef>
              <c:f>System!$A$16</c:f>
              <c:strCache>
                <c:ptCount val="1"/>
                <c:pt idx="0">
                  <c:v>Officework</c:v>
                </c:pt>
              </c:strCache>
            </c:strRef>
          </c:tx>
          <c:spPr>
            <a:solidFill>
              <a:schemeClr val="accent5"/>
            </a:solidFill>
            <a:ln>
              <a:noFill/>
            </a:ln>
            <a:effectLst/>
          </c:spPr>
          <c:invertIfNegative val="0"/>
          <c:dLbls>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Lit>
              <c:ptCount val="2"/>
              <c:pt idx="0">
                <c:v>MSP</c:v>
              </c:pt>
              <c:pt idx="1">
                <c:v>MMP</c:v>
              </c:pt>
            </c:strLit>
          </c:cat>
          <c:val>
            <c:numRef>
              <c:f>(System!$F$16,System!$H$16)</c:f>
              <c:numCache>
                <c:formatCode>_("$"* #,##0.00_);_("$"* \(#,##0.00\);_("$"* "-"??_);_(@_)</c:formatCode>
                <c:ptCount val="2"/>
                <c:pt idx="0">
                  <c:v>3114.5403071017272</c:v>
                </c:pt>
                <c:pt idx="1">
                  <c:v>3122.0403071017272</c:v>
                </c:pt>
              </c:numCache>
            </c:numRef>
          </c:val>
          <c:extLst>
            <c:ext xmlns:c16="http://schemas.microsoft.com/office/drawing/2014/chart" uri="{C3380CC4-5D6E-409C-BE32-E72D297353CC}">
              <c16:uniqueId val="{00000004-81DD-4574-8C35-11B43B2AA5E5}"/>
            </c:ext>
          </c:extLst>
        </c:ser>
        <c:ser>
          <c:idx val="5"/>
          <c:order val="7"/>
          <c:tx>
            <c:strRef>
              <c:f>System!$A$17</c:f>
              <c:strCache>
                <c:ptCount val="1"/>
                <c:pt idx="0">
                  <c:v>Other</c:v>
                </c:pt>
              </c:strCache>
            </c:strRef>
          </c:tx>
          <c:spPr>
            <a:solidFill>
              <a:schemeClr val="accent6"/>
            </a:solidFill>
            <a:ln>
              <a:noFill/>
            </a:ln>
            <a:effectLst/>
          </c:spPr>
          <c:invertIfNegative val="0"/>
          <c:dLbls>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Lit>
              <c:ptCount val="2"/>
              <c:pt idx="0">
                <c:v>MSP</c:v>
              </c:pt>
              <c:pt idx="1">
                <c:v>MMP</c:v>
              </c:pt>
            </c:strLit>
          </c:cat>
          <c:val>
            <c:numRef>
              <c:f>(System!$F$17,System!$H$17)</c:f>
              <c:numCache>
                <c:formatCode>_("$"* #,##0.00_);_("$"* \(#,##0.00\);_("$"* "-"??_);_(@_)</c:formatCode>
                <c:ptCount val="2"/>
                <c:pt idx="0">
                  <c:v>684.55479218252299</c:v>
                </c:pt>
                <c:pt idx="1">
                  <c:v>714.06482252306546</c:v>
                </c:pt>
              </c:numCache>
            </c:numRef>
          </c:val>
          <c:extLst>
            <c:ext xmlns:c16="http://schemas.microsoft.com/office/drawing/2014/chart" uri="{C3380CC4-5D6E-409C-BE32-E72D297353CC}">
              <c16:uniqueId val="{00000005-81DD-4574-8C35-11B43B2AA5E5}"/>
            </c:ext>
          </c:extLst>
        </c:ser>
        <c:dLbls>
          <c:showLegendKey val="0"/>
          <c:showVal val="0"/>
          <c:showCatName val="0"/>
          <c:showSerName val="0"/>
          <c:showPercent val="0"/>
          <c:showBubbleSize val="0"/>
        </c:dLbls>
        <c:gapWidth val="150"/>
        <c:overlap val="100"/>
        <c:axId val="655956496"/>
        <c:axId val="655962320"/>
      </c:barChart>
      <c:catAx>
        <c:axId val="65595649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655962320"/>
        <c:crosses val="autoZero"/>
        <c:auto val="1"/>
        <c:lblAlgn val="ctr"/>
        <c:lblOffset val="100"/>
        <c:noMultiLvlLbl val="0"/>
      </c:catAx>
      <c:valAx>
        <c:axId val="65596232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System Capital Cost (USD per kW</a:t>
                </a:r>
                <a:r>
                  <a:rPr lang="en-US" baseline="-25000"/>
                  <a:t>dc</a:t>
                </a:r>
                <a:r>
                  <a:rPr lang="en-US" baseline="0"/>
                  <a:t>)</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_(&quot;$&quot;* #,##0_);_(&quot;$&quot;* \(#,##0\);_(&quot;$&quot;* &quot;-&quot;_);_(@_)"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5956496"/>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stacked"/>
        <c:varyColors val="0"/>
        <c:ser>
          <c:idx val="0"/>
          <c:order val="0"/>
          <c:tx>
            <c:strRef>
              <c:f>O_M!$A$10</c:f>
              <c:strCache>
                <c:ptCount val="1"/>
                <c:pt idx="0">
                  <c:v>Cleaning</c:v>
                </c:pt>
              </c:strCache>
            </c:strRef>
          </c:tx>
          <c:spPr>
            <a:solidFill>
              <a:schemeClr val="accent1"/>
            </a:solidFill>
            <a:ln>
              <a:noFill/>
            </a:ln>
            <a:effectLst/>
          </c:spPr>
          <c:invertIfNegative val="0"/>
          <c:cat>
            <c:strLit>
              <c:ptCount val="2"/>
              <c:pt idx="0">
                <c:v>MSP</c:v>
              </c:pt>
              <c:pt idx="1">
                <c:v>MMP</c:v>
              </c:pt>
            </c:strLit>
          </c:cat>
          <c:val>
            <c:numRef>
              <c:f>(O_M!$F$10,O_M!$H$10)</c:f>
              <c:numCache>
                <c:formatCode>_("$"* #,##0.00_);_("$"* \(#,##0.00\);_("$"* "-"??_);_(@_)</c:formatCode>
                <c:ptCount val="2"/>
                <c:pt idx="0">
                  <c:v>3</c:v>
                </c:pt>
                <c:pt idx="1">
                  <c:v>3</c:v>
                </c:pt>
              </c:numCache>
            </c:numRef>
          </c:val>
          <c:extLst>
            <c:ext xmlns:c16="http://schemas.microsoft.com/office/drawing/2014/chart" uri="{C3380CC4-5D6E-409C-BE32-E72D297353CC}">
              <c16:uniqueId val="{00000000-0FD3-4FCB-BFE5-CC8DF8A55F1D}"/>
            </c:ext>
          </c:extLst>
        </c:ser>
        <c:ser>
          <c:idx val="1"/>
          <c:order val="1"/>
          <c:tx>
            <c:strRef>
              <c:f>O_M!$A$11</c:f>
              <c:strCache>
                <c:ptCount val="1"/>
                <c:pt idx="0">
                  <c:v>Inspection</c:v>
                </c:pt>
              </c:strCache>
            </c:strRef>
          </c:tx>
          <c:spPr>
            <a:solidFill>
              <a:schemeClr val="accent2"/>
            </a:solidFill>
            <a:ln>
              <a:noFill/>
            </a:ln>
            <a:effectLst/>
          </c:spPr>
          <c:invertIfNegative val="0"/>
          <c:cat>
            <c:strLit>
              <c:ptCount val="2"/>
              <c:pt idx="0">
                <c:v>MSP</c:v>
              </c:pt>
              <c:pt idx="1">
                <c:v>MMP</c:v>
              </c:pt>
            </c:strLit>
          </c:cat>
          <c:val>
            <c:numRef>
              <c:f>(O_M!$F$11,O_M!$H$11)</c:f>
              <c:numCache>
                <c:formatCode>_("$"* #,##0.00_);_("$"* \(#,##0.00\);_("$"* "-"??_);_(@_)</c:formatCode>
                <c:ptCount val="2"/>
                <c:pt idx="0">
                  <c:v>2.694533333333335</c:v>
                </c:pt>
                <c:pt idx="1">
                  <c:v>2.694533333333335</c:v>
                </c:pt>
              </c:numCache>
            </c:numRef>
          </c:val>
          <c:extLst>
            <c:ext xmlns:c16="http://schemas.microsoft.com/office/drawing/2014/chart" uri="{C3380CC4-5D6E-409C-BE32-E72D297353CC}">
              <c16:uniqueId val="{00000001-0FD3-4FCB-BFE5-CC8DF8A55F1D}"/>
            </c:ext>
          </c:extLst>
        </c:ser>
        <c:ser>
          <c:idx val="8"/>
          <c:order val="2"/>
          <c:tx>
            <c:strRef>
              <c:f>O_M!$A$12</c:f>
              <c:strCache>
                <c:ptCount val="1"/>
                <c:pt idx="0">
                  <c:v>New BOS</c:v>
                </c:pt>
              </c:strCache>
            </c:strRef>
          </c:tx>
          <c:spPr>
            <a:solidFill>
              <a:schemeClr val="accent3">
                <a:lumMod val="60000"/>
              </a:schemeClr>
            </a:solidFill>
            <a:ln>
              <a:noFill/>
            </a:ln>
            <a:effectLst/>
          </c:spPr>
          <c:invertIfNegative val="0"/>
          <c:cat>
            <c:strLit>
              <c:ptCount val="2"/>
              <c:pt idx="0">
                <c:v>MSP</c:v>
              </c:pt>
              <c:pt idx="1">
                <c:v>MMP</c:v>
              </c:pt>
            </c:strLit>
          </c:cat>
          <c:val>
            <c:numRef>
              <c:f>(O_M!$F$12,O_M!$H$12)</c:f>
              <c:numCache>
                <c:formatCode>_("$"* #,##0.00_);_("$"* \(#,##0.00\);_("$"* "-"??_);_(@_)</c:formatCode>
                <c:ptCount val="2"/>
                <c:pt idx="0">
                  <c:v>1.4806152334506217</c:v>
                </c:pt>
                <c:pt idx="1">
                  <c:v>1.4806152334506217</c:v>
                </c:pt>
              </c:numCache>
            </c:numRef>
          </c:val>
          <c:extLst>
            <c:ext xmlns:c16="http://schemas.microsoft.com/office/drawing/2014/chart" uri="{C3380CC4-5D6E-409C-BE32-E72D297353CC}">
              <c16:uniqueId val="{00000008-0FD3-4FCB-BFE5-CC8DF8A55F1D}"/>
            </c:ext>
          </c:extLst>
        </c:ser>
        <c:ser>
          <c:idx val="9"/>
          <c:order val="3"/>
          <c:tx>
            <c:strRef>
              <c:f>O_M!$A$13</c:f>
              <c:strCache>
                <c:ptCount val="1"/>
                <c:pt idx="0">
                  <c:v>New Modules</c:v>
                </c:pt>
              </c:strCache>
            </c:strRef>
          </c:tx>
          <c:spPr>
            <a:solidFill>
              <a:schemeClr val="accent4">
                <a:lumMod val="60000"/>
              </a:schemeClr>
            </a:solidFill>
            <a:ln>
              <a:noFill/>
            </a:ln>
            <a:effectLst/>
          </c:spPr>
          <c:invertIfNegative val="0"/>
          <c:cat>
            <c:strLit>
              <c:ptCount val="2"/>
              <c:pt idx="0">
                <c:v>MSP</c:v>
              </c:pt>
              <c:pt idx="1">
                <c:v>MMP</c:v>
              </c:pt>
            </c:strLit>
          </c:cat>
          <c:val>
            <c:numRef>
              <c:f>(O_M!$F$13,O_M!$H$13)</c:f>
              <c:numCache>
                <c:formatCode>_("$"* #,##0.00_);_("$"* \(#,##0.00\);_("$"* "-"??_);_(@_)</c:formatCode>
                <c:ptCount val="2"/>
                <c:pt idx="0">
                  <c:v>0.23470117925046463</c:v>
                </c:pt>
                <c:pt idx="1">
                  <c:v>0.23470117925046463</c:v>
                </c:pt>
              </c:numCache>
            </c:numRef>
          </c:val>
          <c:extLst>
            <c:ext xmlns:c16="http://schemas.microsoft.com/office/drawing/2014/chart" uri="{C3380CC4-5D6E-409C-BE32-E72D297353CC}">
              <c16:uniqueId val="{00000009-0FD3-4FCB-BFE5-CC8DF8A55F1D}"/>
            </c:ext>
          </c:extLst>
        </c:ser>
        <c:ser>
          <c:idx val="2"/>
          <c:order val="4"/>
          <c:tx>
            <c:strRef>
              <c:f>O_M!$A$14</c:f>
              <c:strCache>
                <c:ptCount val="1"/>
                <c:pt idx="0">
                  <c:v>New Inverters</c:v>
                </c:pt>
              </c:strCache>
            </c:strRef>
          </c:tx>
          <c:spPr>
            <a:solidFill>
              <a:schemeClr val="accent3"/>
            </a:solidFill>
            <a:ln>
              <a:noFill/>
            </a:ln>
            <a:effectLst/>
          </c:spPr>
          <c:invertIfNegative val="0"/>
          <c:cat>
            <c:strLit>
              <c:ptCount val="2"/>
              <c:pt idx="0">
                <c:v>MSP</c:v>
              </c:pt>
              <c:pt idx="1">
                <c:v>MMP</c:v>
              </c:pt>
            </c:strLit>
          </c:cat>
          <c:val>
            <c:numRef>
              <c:f>(O_M!$F$14,O_M!$H$14)</c:f>
              <c:numCache>
                <c:formatCode>_("$"* #,##0.00_);_("$"* \(#,##0.00\);_("$"* "-"??_);_(@_)</c:formatCode>
                <c:ptCount val="2"/>
                <c:pt idx="0">
                  <c:v>3.030522350684639</c:v>
                </c:pt>
                <c:pt idx="1">
                  <c:v>3.030522350684639</c:v>
                </c:pt>
              </c:numCache>
            </c:numRef>
          </c:val>
          <c:extLst>
            <c:ext xmlns:c16="http://schemas.microsoft.com/office/drawing/2014/chart" uri="{C3380CC4-5D6E-409C-BE32-E72D297353CC}">
              <c16:uniqueId val="{00000002-0FD3-4FCB-BFE5-CC8DF8A55F1D}"/>
            </c:ext>
          </c:extLst>
        </c:ser>
        <c:ser>
          <c:idx val="3"/>
          <c:order val="5"/>
          <c:tx>
            <c:strRef>
              <c:f>O_M!$A$15</c:f>
              <c:strCache>
                <c:ptCount val="1"/>
                <c:pt idx="0">
                  <c:v>New ESS</c:v>
                </c:pt>
              </c:strCache>
            </c:strRef>
          </c:tx>
          <c:spPr>
            <a:solidFill>
              <a:schemeClr val="accent4"/>
            </a:solidFill>
            <a:ln>
              <a:noFill/>
            </a:ln>
            <a:effectLst/>
          </c:spPr>
          <c:invertIfNegative val="0"/>
          <c:cat>
            <c:strLit>
              <c:ptCount val="2"/>
              <c:pt idx="0">
                <c:v>MSP</c:v>
              </c:pt>
              <c:pt idx="1">
                <c:v>MMP</c:v>
              </c:pt>
            </c:strLit>
          </c:cat>
          <c:val>
            <c:numRef>
              <c:f>(O_M!$F$15,O_M!$H$15)</c:f>
              <c:numCache>
                <c:formatCode>_("$"* #,##0.00_);_("$"* \(#,##0.00\);_("$"* "-"??_);_(@_)</c:formatCode>
                <c:ptCount val="2"/>
                <c:pt idx="0">
                  <c:v>0</c:v>
                </c:pt>
                <c:pt idx="1">
                  <c:v>0</c:v>
                </c:pt>
              </c:numCache>
            </c:numRef>
          </c:val>
          <c:extLst>
            <c:ext xmlns:c16="http://schemas.microsoft.com/office/drawing/2014/chart" uri="{C3380CC4-5D6E-409C-BE32-E72D297353CC}">
              <c16:uniqueId val="{00000003-0FD3-4FCB-BFE5-CC8DF8A55F1D}"/>
            </c:ext>
          </c:extLst>
        </c:ser>
        <c:ser>
          <c:idx val="4"/>
          <c:order val="6"/>
          <c:tx>
            <c:strRef>
              <c:f>O_M!$A$16</c:f>
              <c:strCache>
                <c:ptCount val="1"/>
                <c:pt idx="0">
                  <c:v>Land Lease</c:v>
                </c:pt>
              </c:strCache>
            </c:strRef>
          </c:tx>
          <c:spPr>
            <a:solidFill>
              <a:schemeClr val="accent5"/>
            </a:solidFill>
            <a:ln>
              <a:noFill/>
            </a:ln>
            <a:effectLst/>
          </c:spPr>
          <c:invertIfNegative val="0"/>
          <c:cat>
            <c:strLit>
              <c:ptCount val="2"/>
              <c:pt idx="0">
                <c:v>MSP</c:v>
              </c:pt>
              <c:pt idx="1">
                <c:v>MMP</c:v>
              </c:pt>
            </c:strLit>
          </c:cat>
          <c:val>
            <c:numRef>
              <c:f>(O_M!$F$16,O_M!$H$16)</c:f>
              <c:numCache>
                <c:formatCode>_("$"* #,##0.00_);_("$"* \(#,##0.00\);_("$"* "-"??_);_(@_)</c:formatCode>
                <c:ptCount val="2"/>
                <c:pt idx="0">
                  <c:v>2.5009999999999999</c:v>
                </c:pt>
                <c:pt idx="1">
                  <c:v>2.5009999999999999</c:v>
                </c:pt>
              </c:numCache>
            </c:numRef>
          </c:val>
          <c:extLst>
            <c:ext xmlns:c16="http://schemas.microsoft.com/office/drawing/2014/chart" uri="{C3380CC4-5D6E-409C-BE32-E72D297353CC}">
              <c16:uniqueId val="{00000004-0FD3-4FCB-BFE5-CC8DF8A55F1D}"/>
            </c:ext>
          </c:extLst>
        </c:ser>
        <c:ser>
          <c:idx val="5"/>
          <c:order val="7"/>
          <c:tx>
            <c:strRef>
              <c:f>O_M!$A$17</c:f>
              <c:strCache>
                <c:ptCount val="1"/>
                <c:pt idx="0">
                  <c:v>Property Tax</c:v>
                </c:pt>
              </c:strCache>
            </c:strRef>
          </c:tx>
          <c:spPr>
            <a:solidFill>
              <a:schemeClr val="accent6"/>
            </a:solidFill>
            <a:ln>
              <a:noFill/>
            </a:ln>
            <a:effectLst/>
          </c:spPr>
          <c:invertIfNegative val="0"/>
          <c:cat>
            <c:strLit>
              <c:ptCount val="2"/>
              <c:pt idx="0">
                <c:v>MSP</c:v>
              </c:pt>
              <c:pt idx="1">
                <c:v>MMP</c:v>
              </c:pt>
            </c:strLit>
          </c:cat>
          <c:val>
            <c:numRef>
              <c:f>(O_M!$F$17,O_M!$H$17)</c:f>
              <c:numCache>
                <c:formatCode>_("$"* #,##0.00_);_("$"* \(#,##0.00\);_("$"* "-"??_);_(@_)</c:formatCode>
                <c:ptCount val="2"/>
                <c:pt idx="0">
                  <c:v>10.145525237100827</c:v>
                </c:pt>
                <c:pt idx="1">
                  <c:v>10.145525237100827</c:v>
                </c:pt>
              </c:numCache>
            </c:numRef>
          </c:val>
          <c:extLst>
            <c:ext xmlns:c16="http://schemas.microsoft.com/office/drawing/2014/chart" uri="{C3380CC4-5D6E-409C-BE32-E72D297353CC}">
              <c16:uniqueId val="{00000005-0FD3-4FCB-BFE5-CC8DF8A55F1D}"/>
            </c:ext>
          </c:extLst>
        </c:ser>
        <c:ser>
          <c:idx val="6"/>
          <c:order val="8"/>
          <c:tx>
            <c:strRef>
              <c:f>O_M!$A$18</c:f>
              <c:strCache>
                <c:ptCount val="1"/>
                <c:pt idx="0">
                  <c:v>Insurance</c:v>
                </c:pt>
              </c:strCache>
            </c:strRef>
          </c:tx>
          <c:spPr>
            <a:solidFill>
              <a:schemeClr val="accent1">
                <a:lumMod val="60000"/>
              </a:schemeClr>
            </a:solidFill>
            <a:ln>
              <a:noFill/>
            </a:ln>
            <a:effectLst/>
          </c:spPr>
          <c:invertIfNegative val="0"/>
          <c:cat>
            <c:strLit>
              <c:ptCount val="2"/>
              <c:pt idx="0">
                <c:v>MSP</c:v>
              </c:pt>
              <c:pt idx="1">
                <c:v>MMP</c:v>
              </c:pt>
            </c:strLit>
          </c:cat>
          <c:val>
            <c:numRef>
              <c:f>(O_M!$F$18,O_M!$H$18)</c:f>
              <c:numCache>
                <c:formatCode>_("$"* #,##0.00_);_("$"* \(#,##0.00\);_("$"* "-"??_);_(@_)</c:formatCode>
                <c:ptCount val="2"/>
                <c:pt idx="0">
                  <c:v>12.681906546376034</c:v>
                </c:pt>
                <c:pt idx="1">
                  <c:v>12.681906546376034</c:v>
                </c:pt>
              </c:numCache>
            </c:numRef>
          </c:val>
          <c:extLst>
            <c:ext xmlns:c16="http://schemas.microsoft.com/office/drawing/2014/chart" uri="{C3380CC4-5D6E-409C-BE32-E72D297353CC}">
              <c16:uniqueId val="{00000006-0FD3-4FCB-BFE5-CC8DF8A55F1D}"/>
            </c:ext>
          </c:extLst>
        </c:ser>
        <c:ser>
          <c:idx val="7"/>
          <c:order val="9"/>
          <c:tx>
            <c:strRef>
              <c:f>O_M!$A$19</c:f>
              <c:strCache>
                <c:ptCount val="1"/>
                <c:pt idx="0">
                  <c:v>Management</c:v>
                </c:pt>
              </c:strCache>
            </c:strRef>
          </c:tx>
          <c:spPr>
            <a:solidFill>
              <a:schemeClr val="accent2">
                <a:lumMod val="60000"/>
              </a:schemeClr>
            </a:solidFill>
            <a:ln>
              <a:noFill/>
            </a:ln>
            <a:effectLst/>
          </c:spPr>
          <c:invertIfNegative val="0"/>
          <c:cat>
            <c:strLit>
              <c:ptCount val="2"/>
              <c:pt idx="0">
                <c:v>MSP</c:v>
              </c:pt>
              <c:pt idx="1">
                <c:v>MMP</c:v>
              </c:pt>
            </c:strLit>
          </c:cat>
          <c:val>
            <c:numRef>
              <c:f>(O_M!$F$19,O_M!$H$19)</c:f>
              <c:numCache>
                <c:formatCode>_("$"* #,##0.00_);_("$"* \(#,##0.00\);_("$"* "-"??_);_(@_)</c:formatCode>
                <c:ptCount val="2"/>
                <c:pt idx="0">
                  <c:v>212.41130838131789</c:v>
                </c:pt>
                <c:pt idx="1">
                  <c:v>212.41130838131789</c:v>
                </c:pt>
              </c:numCache>
            </c:numRef>
          </c:val>
          <c:extLst>
            <c:ext xmlns:c16="http://schemas.microsoft.com/office/drawing/2014/chart" uri="{C3380CC4-5D6E-409C-BE32-E72D297353CC}">
              <c16:uniqueId val="{00000007-0FD3-4FCB-BFE5-CC8DF8A55F1D}"/>
            </c:ext>
          </c:extLst>
        </c:ser>
        <c:dLbls>
          <c:showLegendKey val="0"/>
          <c:showVal val="0"/>
          <c:showCatName val="0"/>
          <c:showSerName val="0"/>
          <c:showPercent val="0"/>
          <c:showBubbleSize val="0"/>
        </c:dLbls>
        <c:gapWidth val="150"/>
        <c:overlap val="100"/>
        <c:axId val="627922559"/>
        <c:axId val="627918815"/>
      </c:barChart>
      <c:catAx>
        <c:axId val="62792255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27918815"/>
        <c:crosses val="autoZero"/>
        <c:auto val="1"/>
        <c:lblAlgn val="ctr"/>
        <c:lblOffset val="100"/>
        <c:noMultiLvlLbl val="0"/>
      </c:catAx>
      <c:valAx>
        <c:axId val="627918815"/>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Annual O&amp;M (USD/kW</a:t>
                </a:r>
                <a:r>
                  <a:rPr lang="en-US" baseline="-25000"/>
                  <a:t>dc</a:t>
                </a:r>
                <a:r>
                  <a:rPr lang="en-US"/>
                  <a:t>)</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_(&quot;$&quot;* #,##0_);_(&quot;$&quot;* \(#,##0\);_(&quot;$&quot;* &quot;-&quot;_);_(@_)"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27922559"/>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10.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127000</xdr:colOff>
          <xdr:row>2</xdr:row>
          <xdr:rowOff>31750</xdr:rowOff>
        </xdr:from>
        <xdr:to>
          <xdr:col>3</xdr:col>
          <xdr:colOff>901700</xdr:colOff>
          <xdr:row>3</xdr:row>
          <xdr:rowOff>25400</xdr:rowOff>
        </xdr:to>
        <xdr:sp macro="" textlink="">
          <xdr:nvSpPr>
            <xdr:cNvPr id="3169" name="Button 97" hidden="1">
              <a:extLst>
                <a:ext uri="{63B3BB69-23CF-44E3-9099-C40C66FF867C}">
                  <a14:compatExt spid="_x0000_s3169"/>
                </a:ext>
                <a:ext uri="{FF2B5EF4-FFF2-40B4-BE49-F238E27FC236}">
                  <a16:creationId xmlns:a16="http://schemas.microsoft.com/office/drawing/2014/main" id="{00000000-0008-0000-0000-0000610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Load</a:t>
              </a:r>
            </a:p>
          </xdr:txBody>
        </xdr:sp>
        <xdr:clientData fPrintsWithSheet="0"/>
      </xdr:twoCellAnchor>
    </mc:Choice>
    <mc:Fallback/>
  </mc:AlternateContent>
  <xdr:twoCellAnchor>
    <xdr:from>
      <xdr:col>0</xdr:col>
      <xdr:colOff>241301</xdr:colOff>
      <xdr:row>23</xdr:row>
      <xdr:rowOff>40217</xdr:rowOff>
    </xdr:from>
    <xdr:to>
      <xdr:col>5</xdr:col>
      <xdr:colOff>368301</xdr:colOff>
      <xdr:row>38</xdr:row>
      <xdr:rowOff>52917</xdr:rowOff>
    </xdr:to>
    <xdr:graphicFrame macro="">
      <xdr:nvGraphicFramePr>
        <xdr:cNvPr id="3" name="Chart 2">
          <a:extLst>
            <a:ext uri="{FF2B5EF4-FFF2-40B4-BE49-F238E27FC236}">
              <a16:creationId xmlns:a16="http://schemas.microsoft.com/office/drawing/2014/main" id="{00000000-0008-0000-00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4</xdr:col>
          <xdr:colOff>63500</xdr:colOff>
          <xdr:row>2</xdr:row>
          <xdr:rowOff>25400</xdr:rowOff>
        </xdr:from>
        <xdr:to>
          <xdr:col>4</xdr:col>
          <xdr:colOff>787400</xdr:colOff>
          <xdr:row>2</xdr:row>
          <xdr:rowOff>222250</xdr:rowOff>
        </xdr:to>
        <xdr:sp macro="" textlink="">
          <xdr:nvSpPr>
            <xdr:cNvPr id="3334" name="Button 262" hidden="1">
              <a:extLst>
                <a:ext uri="{63B3BB69-23CF-44E3-9099-C40C66FF867C}">
                  <a14:compatExt spid="_x0000_s3334"/>
                </a:ext>
                <a:ext uri="{FF2B5EF4-FFF2-40B4-BE49-F238E27FC236}">
                  <a16:creationId xmlns:a16="http://schemas.microsoft.com/office/drawing/2014/main" id="{00000000-0008-0000-0000-0000060D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Save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69850</xdr:colOff>
          <xdr:row>2</xdr:row>
          <xdr:rowOff>25400</xdr:rowOff>
        </xdr:from>
        <xdr:to>
          <xdr:col>3</xdr:col>
          <xdr:colOff>831850</xdr:colOff>
          <xdr:row>2</xdr:row>
          <xdr:rowOff>222250</xdr:rowOff>
        </xdr:to>
        <xdr:sp macro="" textlink="">
          <xdr:nvSpPr>
            <xdr:cNvPr id="31745" name="Button 1" hidden="1">
              <a:extLst>
                <a:ext uri="{63B3BB69-23CF-44E3-9099-C40C66FF867C}">
                  <a14:compatExt spid="_x0000_s31745"/>
                </a:ext>
                <a:ext uri="{FF2B5EF4-FFF2-40B4-BE49-F238E27FC236}">
                  <a16:creationId xmlns:a16="http://schemas.microsoft.com/office/drawing/2014/main" id="{00000000-0008-0000-0100-0000017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Copy</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69850</xdr:colOff>
          <xdr:row>2</xdr:row>
          <xdr:rowOff>25400</xdr:rowOff>
        </xdr:from>
        <xdr:to>
          <xdr:col>3</xdr:col>
          <xdr:colOff>831850</xdr:colOff>
          <xdr:row>2</xdr:row>
          <xdr:rowOff>222250</xdr:rowOff>
        </xdr:to>
        <xdr:sp macro="" textlink="">
          <xdr:nvSpPr>
            <xdr:cNvPr id="30721" name="Button 1" hidden="1">
              <a:extLst>
                <a:ext uri="{63B3BB69-23CF-44E3-9099-C40C66FF867C}">
                  <a14:compatExt spid="_x0000_s30721"/>
                </a:ext>
                <a:ext uri="{FF2B5EF4-FFF2-40B4-BE49-F238E27FC236}">
                  <a16:creationId xmlns:a16="http://schemas.microsoft.com/office/drawing/2014/main" id="{00000000-0008-0000-0200-0000017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Copy</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69850</xdr:colOff>
          <xdr:row>2</xdr:row>
          <xdr:rowOff>25400</xdr:rowOff>
        </xdr:from>
        <xdr:to>
          <xdr:col>3</xdr:col>
          <xdr:colOff>831850</xdr:colOff>
          <xdr:row>2</xdr:row>
          <xdr:rowOff>222250</xdr:rowOff>
        </xdr:to>
        <xdr:sp macro="" textlink="">
          <xdr:nvSpPr>
            <xdr:cNvPr id="27649" name="Button 1" hidden="1">
              <a:extLst>
                <a:ext uri="{63B3BB69-23CF-44E3-9099-C40C66FF867C}">
                  <a14:compatExt spid="_x0000_s27649"/>
                </a:ext>
                <a:ext uri="{FF2B5EF4-FFF2-40B4-BE49-F238E27FC236}">
                  <a16:creationId xmlns:a16="http://schemas.microsoft.com/office/drawing/2014/main" id="{00000000-0008-0000-0300-0000016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Copy</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69850</xdr:colOff>
          <xdr:row>2</xdr:row>
          <xdr:rowOff>25400</xdr:rowOff>
        </xdr:from>
        <xdr:to>
          <xdr:col>3</xdr:col>
          <xdr:colOff>831850</xdr:colOff>
          <xdr:row>2</xdr:row>
          <xdr:rowOff>222250</xdr:rowOff>
        </xdr:to>
        <xdr:sp macro="" textlink="">
          <xdr:nvSpPr>
            <xdr:cNvPr id="29697" name="Button 1" hidden="1">
              <a:extLst>
                <a:ext uri="{63B3BB69-23CF-44E3-9099-C40C66FF867C}">
                  <a14:compatExt spid="_x0000_s29697"/>
                </a:ext>
                <a:ext uri="{FF2B5EF4-FFF2-40B4-BE49-F238E27FC236}">
                  <a16:creationId xmlns:a16="http://schemas.microsoft.com/office/drawing/2014/main" id="{00000000-0008-0000-0400-0000017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Copy</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69850</xdr:colOff>
          <xdr:row>2</xdr:row>
          <xdr:rowOff>25400</xdr:rowOff>
        </xdr:from>
        <xdr:to>
          <xdr:col>3</xdr:col>
          <xdr:colOff>831850</xdr:colOff>
          <xdr:row>2</xdr:row>
          <xdr:rowOff>222250</xdr:rowOff>
        </xdr:to>
        <xdr:sp macro="" textlink="">
          <xdr:nvSpPr>
            <xdr:cNvPr id="28673" name="Button 1" hidden="1">
              <a:extLst>
                <a:ext uri="{63B3BB69-23CF-44E3-9099-C40C66FF867C}">
                  <a14:compatExt spid="_x0000_s28673"/>
                </a:ext>
                <a:ext uri="{FF2B5EF4-FFF2-40B4-BE49-F238E27FC236}">
                  <a16:creationId xmlns:a16="http://schemas.microsoft.com/office/drawing/2014/main" id="{00000000-0008-0000-0500-0000017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Copy</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69850</xdr:colOff>
          <xdr:row>2</xdr:row>
          <xdr:rowOff>25400</xdr:rowOff>
        </xdr:from>
        <xdr:to>
          <xdr:col>3</xdr:col>
          <xdr:colOff>831850</xdr:colOff>
          <xdr:row>2</xdr:row>
          <xdr:rowOff>222250</xdr:rowOff>
        </xdr:to>
        <xdr:sp macro="" textlink="">
          <xdr:nvSpPr>
            <xdr:cNvPr id="26625" name="Button 1" hidden="1">
              <a:extLst>
                <a:ext uri="{63B3BB69-23CF-44E3-9099-C40C66FF867C}">
                  <a14:compatExt spid="_x0000_s26625"/>
                </a:ext>
                <a:ext uri="{FF2B5EF4-FFF2-40B4-BE49-F238E27FC236}">
                  <a16:creationId xmlns:a16="http://schemas.microsoft.com/office/drawing/2014/main" id="{00000000-0008-0000-0600-0000016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Copy</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69850</xdr:colOff>
          <xdr:row>2</xdr:row>
          <xdr:rowOff>25400</xdr:rowOff>
        </xdr:from>
        <xdr:to>
          <xdr:col>3</xdr:col>
          <xdr:colOff>831850</xdr:colOff>
          <xdr:row>2</xdr:row>
          <xdr:rowOff>222250</xdr:rowOff>
        </xdr:to>
        <xdr:sp macro="" textlink="">
          <xdr:nvSpPr>
            <xdr:cNvPr id="41985" name="Button 1" hidden="1">
              <a:extLst>
                <a:ext uri="{63B3BB69-23CF-44E3-9099-C40C66FF867C}">
                  <a14:compatExt spid="_x0000_s41985"/>
                </a:ext>
                <a:ext uri="{FF2B5EF4-FFF2-40B4-BE49-F238E27FC236}">
                  <a16:creationId xmlns:a16="http://schemas.microsoft.com/office/drawing/2014/main" id="{00000000-0008-0000-0700-000001A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Copy</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69850</xdr:colOff>
          <xdr:row>2</xdr:row>
          <xdr:rowOff>25400</xdr:rowOff>
        </xdr:from>
        <xdr:to>
          <xdr:col>3</xdr:col>
          <xdr:colOff>831850</xdr:colOff>
          <xdr:row>2</xdr:row>
          <xdr:rowOff>222250</xdr:rowOff>
        </xdr:to>
        <xdr:sp macro="" textlink="">
          <xdr:nvSpPr>
            <xdr:cNvPr id="15394" name="Button 34" hidden="1">
              <a:extLst>
                <a:ext uri="{63B3BB69-23CF-44E3-9099-C40C66FF867C}">
                  <a14:compatExt spid="_x0000_s15394"/>
                </a:ext>
                <a:ext uri="{FF2B5EF4-FFF2-40B4-BE49-F238E27FC236}">
                  <a16:creationId xmlns:a16="http://schemas.microsoft.com/office/drawing/2014/main" id="{00000000-0008-0000-0800-0000223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Copy</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69850</xdr:colOff>
          <xdr:row>2</xdr:row>
          <xdr:rowOff>25400</xdr:rowOff>
        </xdr:from>
        <xdr:to>
          <xdr:col>3</xdr:col>
          <xdr:colOff>831850</xdr:colOff>
          <xdr:row>2</xdr:row>
          <xdr:rowOff>222250</xdr:rowOff>
        </xdr:to>
        <xdr:sp macro="" textlink="">
          <xdr:nvSpPr>
            <xdr:cNvPr id="32769" name="Button 1" hidden="1">
              <a:extLst>
                <a:ext uri="{63B3BB69-23CF-44E3-9099-C40C66FF867C}">
                  <a14:compatExt spid="_x0000_s32769"/>
                </a:ext>
                <a:ext uri="{FF2B5EF4-FFF2-40B4-BE49-F238E27FC236}">
                  <a16:creationId xmlns:a16="http://schemas.microsoft.com/office/drawing/2014/main" id="{00000000-0008-0000-0900-0000018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Copy</a:t>
              </a:r>
            </a:p>
          </xdr:txBody>
        </xdr:sp>
        <xdr:clientData fPrintsWithSheet="0"/>
      </xdr:twoCellAnchor>
    </mc:Choice>
    <mc:Fallback/>
  </mc:AlternateContent>
  <xdr:twoCellAnchor>
    <xdr:from>
      <xdr:col>0</xdr:col>
      <xdr:colOff>220132</xdr:colOff>
      <xdr:row>22</xdr:row>
      <xdr:rowOff>112183</xdr:rowOff>
    </xdr:from>
    <xdr:to>
      <xdr:col>5</xdr:col>
      <xdr:colOff>338665</xdr:colOff>
      <xdr:row>37</xdr:row>
      <xdr:rowOff>124883</xdr:rowOff>
    </xdr:to>
    <xdr:graphicFrame macro="">
      <xdr:nvGraphicFramePr>
        <xdr:cNvPr id="2" name="Chart 1">
          <a:extLst>
            <a:ext uri="{FF2B5EF4-FFF2-40B4-BE49-F238E27FC236}">
              <a16:creationId xmlns:a16="http://schemas.microsoft.com/office/drawing/2014/main" id="{00000000-0008-0000-09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177800</xdr:colOff>
          <xdr:row>0</xdr:row>
          <xdr:rowOff>177800</xdr:rowOff>
        </xdr:from>
        <xdr:to>
          <xdr:col>7</xdr:col>
          <xdr:colOff>939800</xdr:colOff>
          <xdr:row>2</xdr:row>
          <xdr:rowOff>6350</xdr:rowOff>
        </xdr:to>
        <xdr:sp macro="" textlink="">
          <xdr:nvSpPr>
            <xdr:cNvPr id="45057" name="Button 1" hidden="1">
              <a:extLst>
                <a:ext uri="{63B3BB69-23CF-44E3-9099-C40C66FF867C}">
                  <a14:compatExt spid="_x0000_s45057"/>
                </a:ext>
                <a:ext uri="{FF2B5EF4-FFF2-40B4-BE49-F238E27FC236}">
                  <a16:creationId xmlns:a16="http://schemas.microsoft.com/office/drawing/2014/main" id="{00000000-0008-0000-0A00-000001B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Copy</a:t>
              </a:r>
            </a:p>
          </xdr:txBody>
        </xdr:sp>
        <xdr:clientData fPrintsWithSheet="0"/>
      </xdr:twoCellAnchor>
    </mc:Choice>
    <mc:Fallback/>
  </mc:AlternateContent>
</xdr:wsDr>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mments" Target="../comments1.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2.xml"/><Relationship Id="rId4" Type="http://schemas.openxmlformats.org/officeDocument/2006/relationships/ctrlProp" Target="../ctrlProps/ctrlProp3.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comments" Target="../comments3.xml"/><Relationship Id="rId4" Type="http://schemas.openxmlformats.org/officeDocument/2006/relationships/ctrlProp" Target="../ctrlProps/ctrlProp4.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5" Type="http://schemas.openxmlformats.org/officeDocument/2006/relationships/comments" Target="../comments4.xml"/><Relationship Id="rId4" Type="http://schemas.openxmlformats.org/officeDocument/2006/relationships/ctrlProp" Target="../ctrlProps/ctrlProp5.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5" Type="http://schemas.openxmlformats.org/officeDocument/2006/relationships/comments" Target="../comments5.xml"/><Relationship Id="rId4" Type="http://schemas.openxmlformats.org/officeDocument/2006/relationships/ctrlProp" Target="../ctrlProps/ctrlProp6.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6.bin"/><Relationship Id="rId5" Type="http://schemas.openxmlformats.org/officeDocument/2006/relationships/comments" Target="../comments6.xml"/><Relationship Id="rId4" Type="http://schemas.openxmlformats.org/officeDocument/2006/relationships/ctrlProp" Target="../ctrlProps/ctrlProp7.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7.bin"/><Relationship Id="rId5" Type="http://schemas.openxmlformats.org/officeDocument/2006/relationships/comments" Target="../comments7.xml"/><Relationship Id="rId4" Type="http://schemas.openxmlformats.org/officeDocument/2006/relationships/ctrlProp" Target="../ctrlProps/ctrlProp8.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8.bin"/><Relationship Id="rId5" Type="http://schemas.openxmlformats.org/officeDocument/2006/relationships/comments" Target="../comments8.xml"/><Relationship Id="rId4" Type="http://schemas.openxmlformats.org/officeDocument/2006/relationships/ctrlProp" Target="../ctrlProps/ctrlProp9.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9.xml"/><Relationship Id="rId1" Type="http://schemas.openxmlformats.org/officeDocument/2006/relationships/printerSettings" Target="../printerSettings/printerSettings9.bin"/><Relationship Id="rId5" Type="http://schemas.openxmlformats.org/officeDocument/2006/relationships/comments" Target="../comments9.xml"/><Relationship Id="rId4" Type="http://schemas.openxmlformats.org/officeDocument/2006/relationships/ctrlProp" Target="../ctrlProps/ctrlProp10.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0.xml"/><Relationship Id="rId1" Type="http://schemas.openxmlformats.org/officeDocument/2006/relationships/printerSettings" Target="../printerSettings/printerSettings10.bin"/><Relationship Id="rId5" Type="http://schemas.openxmlformats.org/officeDocument/2006/relationships/comments" Target="../comments10.xml"/><Relationship Id="rId4" Type="http://schemas.openxmlformats.org/officeDocument/2006/relationships/ctrlProp" Target="../ctrlProps/ctrlProp11.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1.xml"/><Relationship Id="rId1" Type="http://schemas.openxmlformats.org/officeDocument/2006/relationships/printerSettings" Target="../printerSettings/printerSettings11.bin"/><Relationship Id="rId4" Type="http://schemas.openxmlformats.org/officeDocument/2006/relationships/ctrlProp" Target="../ctrlProps/ctrlProp1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8F59EB-07BB-42A0-9705-53A0DD695136}">
  <sheetPr codeName="Sheet3">
    <pageSetUpPr fitToPage="1"/>
  </sheetPr>
  <dimension ref="A1:T22"/>
  <sheetViews>
    <sheetView tabSelected="1" topLeftCell="A4" workbookViewId="0">
      <selection activeCell="A10" sqref="A10"/>
    </sheetView>
  </sheetViews>
  <sheetFormatPr defaultColWidth="8.90625" defaultRowHeight="14.5"/>
  <cols>
    <col min="1" max="1" width="15.6328125" style="1" customWidth="1"/>
    <col min="2" max="2" width="14.08984375" style="1" customWidth="1"/>
    <col min="3" max="3" width="11.6328125" style="1" customWidth="1"/>
    <col min="4" max="4" width="13.6328125" style="1" customWidth="1"/>
    <col min="5" max="5" width="11.6328125" style="1" customWidth="1"/>
    <col min="6" max="6" width="13.6328125" style="1" customWidth="1"/>
    <col min="7" max="7" width="15.6328125" style="1" customWidth="1"/>
    <col min="8" max="8" width="13.6328125" style="1" customWidth="1"/>
    <col min="9" max="9" width="4.6328125" style="1" customWidth="1"/>
    <col min="10" max="10" width="75.90625" style="1" customWidth="1"/>
    <col min="11" max="16384" width="8.90625" style="1"/>
  </cols>
  <sheetData>
    <row r="1" spans="1:20" ht="18" customHeight="1">
      <c r="A1" s="14" t="s">
        <v>7</v>
      </c>
      <c r="B1"/>
      <c r="C1"/>
      <c r="D1"/>
      <c r="E1"/>
      <c r="F1"/>
      <c r="G1"/>
      <c r="H1"/>
      <c r="I1"/>
      <c r="J1"/>
    </row>
    <row r="2" spans="1:20" ht="18" customHeight="1">
      <c r="A2" s="71" t="s">
        <v>6</v>
      </c>
      <c r="B2" s="71"/>
      <c r="C2" s="31" t="s">
        <v>13</v>
      </c>
      <c r="D2" s="68" t="s">
        <v>319</v>
      </c>
      <c r="E2" s="69"/>
      <c r="F2" s="69"/>
      <c r="G2"/>
      <c r="H2" s="16"/>
      <c r="I2" t="s">
        <v>9</v>
      </c>
      <c r="J2"/>
    </row>
    <row r="3" spans="1:20" ht="18" customHeight="1">
      <c r="A3" s="32">
        <v>41.68</v>
      </c>
      <c r="B3" s="17" t="s">
        <v>22</v>
      </c>
      <c r="C3"/>
      <c r="D3"/>
      <c r="E3"/>
      <c r="F3"/>
      <c r="G3"/>
      <c r="H3" s="17"/>
      <c r="I3" t="s">
        <v>10</v>
      </c>
      <c r="J3"/>
    </row>
    <row r="4" spans="1:20" ht="18" customHeight="1">
      <c r="A4"/>
      <c r="B4"/>
      <c r="C4"/>
      <c r="D4"/>
      <c r="E4"/>
      <c r="F4"/>
      <c r="G4"/>
      <c r="H4" s="18"/>
      <c r="I4" t="s">
        <v>43</v>
      </c>
      <c r="J4"/>
    </row>
    <row r="5" spans="1:20" ht="18" customHeight="1">
      <c r="A5" s="70" t="s">
        <v>280</v>
      </c>
      <c r="B5" s="70"/>
      <c r="C5" s="70"/>
      <c r="D5" s="70"/>
      <c r="E5" s="70"/>
      <c r="F5" s="70"/>
      <c r="G5"/>
      <c r="H5" s="19"/>
      <c r="I5" t="s">
        <v>8</v>
      </c>
      <c r="J5"/>
    </row>
    <row r="6" spans="1:20" ht="18" customHeight="1">
      <c r="A6" s="70"/>
      <c r="B6" s="70"/>
      <c r="C6" s="70"/>
      <c r="D6" s="70"/>
      <c r="E6" s="70"/>
      <c r="F6" s="70"/>
      <c r="G6" s="15" t="s">
        <v>57</v>
      </c>
      <c r="H6" s="54" t="b">
        <v>0</v>
      </c>
      <c r="I6"/>
      <c r="J6"/>
    </row>
    <row r="7" spans="1:20" ht="18" customHeight="1">
      <c r="A7" s="70"/>
      <c r="B7" s="70"/>
      <c r="C7" s="70"/>
      <c r="D7" s="70"/>
      <c r="E7" s="70"/>
      <c r="F7" s="70"/>
      <c r="G7" s="15" t="s">
        <v>58</v>
      </c>
      <c r="H7" s="54" t="b">
        <v>1</v>
      </c>
      <c r="I7"/>
      <c r="J7"/>
    </row>
    <row r="8" spans="1:20" ht="18" customHeight="1">
      <c r="A8" s="20"/>
      <c r="B8"/>
      <c r="C8"/>
      <c r="D8"/>
      <c r="E8"/>
      <c r="F8"/>
      <c r="G8"/>
      <c r="H8"/>
      <c r="I8"/>
      <c r="J8"/>
    </row>
    <row r="9" spans="1:20" s="3" customFormat="1" ht="29.75" customHeight="1">
      <c r="A9" s="21" t="s">
        <v>38</v>
      </c>
      <c r="B9" s="64" t="s">
        <v>26</v>
      </c>
      <c r="C9" s="22" t="s">
        <v>4</v>
      </c>
      <c r="D9" s="64" t="s">
        <v>3</v>
      </c>
      <c r="E9" s="22" t="str">
        <f>CONCATENATE("Intrinsic Units per ",B3)</f>
        <v>Intrinsic Units per kWdc</v>
      </c>
      <c r="F9" s="22" t="str">
        <f>CONCATENATE("Cost Element per ",$B$3)</f>
        <v>Cost Element per kWdc</v>
      </c>
      <c r="G9" s="64" t="s">
        <v>19</v>
      </c>
      <c r="H9" s="22" t="str">
        <f>CONCATENATE("Price Element per ",$B$3)</f>
        <v>Price Element per kWdc</v>
      </c>
      <c r="I9" t="s">
        <v>65</v>
      </c>
      <c r="J9" s="23" t="s">
        <v>15</v>
      </c>
    </row>
    <row r="10" spans="1:20" ht="18" customHeight="1">
      <c r="A10" s="13" t="s">
        <v>1</v>
      </c>
      <c r="B10" s="65" t="s">
        <v>77</v>
      </c>
      <c r="C10" s="24" t="str">
        <f>ModuleUnit</f>
        <v>kWdc</v>
      </c>
      <c r="D10" s="48">
        <f>ModuleMSP</f>
        <v>234.70117925046463</v>
      </c>
      <c r="E10" s="30">
        <v>1</v>
      </c>
      <c r="F10" s="7">
        <f t="shared" ref="F10:F21" si="0">E10*D10*includerow(I10,IncludeESS,IncludeIndirect)</f>
        <v>234.70117925046463</v>
      </c>
      <c r="G10" s="49">
        <f>ModuleMMP</f>
        <v>336</v>
      </c>
      <c r="H10" s="7">
        <f t="shared" ref="H10:H21" si="1">G10*E10*includerow(I10,IncludeESS,IncludeIndirect)</f>
        <v>336</v>
      </c>
      <c r="I10" s="37"/>
      <c r="J10" s="2"/>
      <c r="K10"/>
      <c r="L10"/>
      <c r="M10"/>
      <c r="N10"/>
      <c r="O10"/>
      <c r="P10"/>
      <c r="Q10"/>
      <c r="R10"/>
      <c r="S10"/>
      <c r="T10"/>
    </row>
    <row r="11" spans="1:20" ht="18" customHeight="1">
      <c r="A11" s="13" t="s">
        <v>2</v>
      </c>
      <c r="B11" s="65" t="s">
        <v>77</v>
      </c>
      <c r="C11" s="24" t="str">
        <f>InverterUnit</f>
        <v>kWac</v>
      </c>
      <c r="D11" s="48">
        <f>InverterMSP</f>
        <v>63.199860000000001</v>
      </c>
      <c r="E11" s="30">
        <f>1/ILR</f>
        <v>0.72992700729927007</v>
      </c>
      <c r="F11" s="7">
        <f t="shared" si="0"/>
        <v>46.131284671532846</v>
      </c>
      <c r="G11" s="49">
        <f>InverterMMP</f>
        <v>75.000000000000014</v>
      </c>
      <c r="H11" s="7">
        <f t="shared" si="1"/>
        <v>54.744525547445264</v>
      </c>
      <c r="I11" s="37"/>
      <c r="J11" s="2"/>
      <c r="K11"/>
      <c r="L11"/>
      <c r="M11"/>
      <c r="N11"/>
      <c r="O11"/>
      <c r="P11"/>
      <c r="Q11"/>
      <c r="R11"/>
      <c r="S11"/>
      <c r="T11"/>
    </row>
    <row r="12" spans="1:20" ht="18" customHeight="1">
      <c r="A12" s="13" t="s">
        <v>23</v>
      </c>
      <c r="B12" s="34" t="s">
        <v>78</v>
      </c>
      <c r="C12" s="24" t="str">
        <f>ESSUnit</f>
        <v>kWh-cap</v>
      </c>
      <c r="D12" s="49">
        <f>ESSMSP</f>
        <v>176.54937500000003</v>
      </c>
      <c r="E12" s="30">
        <f>StorageDuration</f>
        <v>2</v>
      </c>
      <c r="F12" s="7">
        <f t="shared" si="0"/>
        <v>0</v>
      </c>
      <c r="G12" s="49">
        <f>ESSMMP</f>
        <v>228</v>
      </c>
      <c r="H12" s="7">
        <f t="shared" si="1"/>
        <v>0</v>
      </c>
      <c r="I12" s="37" t="s">
        <v>79</v>
      </c>
      <c r="J12" s="2"/>
      <c r="K12"/>
      <c r="L12"/>
      <c r="M12"/>
      <c r="N12"/>
      <c r="O12"/>
      <c r="P12"/>
      <c r="Q12"/>
      <c r="R12"/>
      <c r="S12"/>
      <c r="T12"/>
    </row>
    <row r="13" spans="1:20" ht="18" customHeight="1">
      <c r="A13" s="13" t="s">
        <v>17</v>
      </c>
      <c r="B13" s="34" t="s">
        <v>80</v>
      </c>
      <c r="C13" s="24" t="str">
        <f>SBOSUnit</f>
        <v>m2</v>
      </c>
      <c r="D13" s="49">
        <f>SBOSMSP</f>
        <v>29.612304669012435</v>
      </c>
      <c r="E13" s="30">
        <f>1/ModuleEfficiency</f>
        <v>5</v>
      </c>
      <c r="F13" s="7">
        <f t="shared" si="0"/>
        <v>148.06152334506217</v>
      </c>
      <c r="G13" s="49">
        <f>SBOSMMP</f>
        <v>30.06589105644699</v>
      </c>
      <c r="H13" s="7">
        <f t="shared" si="1"/>
        <v>150.32945528223496</v>
      </c>
      <c r="I13" s="37"/>
      <c r="J13" s="2"/>
      <c r="K13"/>
      <c r="L13"/>
      <c r="M13"/>
      <c r="N13"/>
      <c r="O13"/>
      <c r="P13"/>
      <c r="Q13"/>
      <c r="R13"/>
      <c r="S13"/>
      <c r="T13"/>
    </row>
    <row r="14" spans="1:20" ht="18" customHeight="1">
      <c r="A14" s="13" t="s">
        <v>20</v>
      </c>
      <c r="B14" s="34" t="s">
        <v>81</v>
      </c>
      <c r="C14" s="24" t="str">
        <f>EBOSUnit</f>
        <v>kWac</v>
      </c>
      <c r="D14" s="49">
        <f>EBOSMSP</f>
        <v>251</v>
      </c>
      <c r="E14" s="30">
        <f>1/ILR</f>
        <v>0.72992700729927007</v>
      </c>
      <c r="F14" s="7">
        <f t="shared" si="0"/>
        <v>183.21167883211677</v>
      </c>
      <c r="G14" s="49">
        <f>EBOSMMP</f>
        <v>266</v>
      </c>
      <c r="H14" s="7">
        <f t="shared" si="1"/>
        <v>194.16058394160584</v>
      </c>
      <c r="I14" s="37"/>
      <c r="J14" s="2"/>
      <c r="K14"/>
      <c r="L14"/>
      <c r="M14"/>
      <c r="N14"/>
      <c r="O14"/>
      <c r="P14"/>
      <c r="Q14"/>
      <c r="R14"/>
      <c r="S14"/>
      <c r="T14"/>
    </row>
    <row r="15" spans="1:20" ht="18" customHeight="1">
      <c r="A15" s="13" t="s">
        <v>40</v>
      </c>
      <c r="B15" s="34" t="s">
        <v>82</v>
      </c>
      <c r="C15" s="24" t="str">
        <f>FieldworkUnit</f>
        <v>m2</v>
      </c>
      <c r="D15" s="49">
        <f>FieldworkMSP</f>
        <v>132.31237063339734</v>
      </c>
      <c r="E15" s="30">
        <f>1/ModuleEfficiency</f>
        <v>5</v>
      </c>
      <c r="F15" s="7">
        <f t="shared" si="0"/>
        <v>661.56185316698668</v>
      </c>
      <c r="G15" s="49">
        <f>FieldworkMMP</f>
        <v>136.29327063339733</v>
      </c>
      <c r="H15" s="7">
        <f t="shared" si="1"/>
        <v>681.46635316698666</v>
      </c>
      <c r="I15" s="37"/>
      <c r="J15" s="2"/>
      <c r="K15"/>
      <c r="L15"/>
      <c r="M15"/>
      <c r="N15"/>
      <c r="O15"/>
      <c r="P15"/>
      <c r="Q15"/>
      <c r="R15"/>
      <c r="S15"/>
      <c r="T15"/>
    </row>
    <row r="16" spans="1:20" ht="18" customHeight="1">
      <c r="A16" s="13" t="s">
        <v>41</v>
      </c>
      <c r="B16" s="34" t="s">
        <v>82</v>
      </c>
      <c r="C16" s="24" t="str">
        <f>OfficeworkUnit</f>
        <v>kWdc</v>
      </c>
      <c r="D16" s="49">
        <f>OfficeworkMSP</f>
        <v>3114.5403071017272</v>
      </c>
      <c r="E16" s="30">
        <v>1</v>
      </c>
      <c r="F16" s="7">
        <f t="shared" si="0"/>
        <v>3114.5403071017272</v>
      </c>
      <c r="G16" s="49">
        <f>OfficeworkMMP</f>
        <v>3122.0403071017272</v>
      </c>
      <c r="H16" s="7">
        <f t="shared" si="1"/>
        <v>3122.0403071017272</v>
      </c>
      <c r="I16" s="37" t="s">
        <v>83</v>
      </c>
      <c r="J16" s="2"/>
      <c r="K16"/>
      <c r="L16"/>
      <c r="M16"/>
      <c r="N16"/>
      <c r="O16"/>
      <c r="P16"/>
      <c r="Q16"/>
      <c r="R16"/>
      <c r="S16"/>
      <c r="T16"/>
    </row>
    <row r="17" spans="1:20" ht="18" customHeight="1">
      <c r="A17" s="13" t="s">
        <v>11</v>
      </c>
      <c r="B17" s="65" t="s">
        <v>84</v>
      </c>
      <c r="C17" s="24" t="str">
        <f>OtherUnit</f>
        <v>kWdc</v>
      </c>
      <c r="D17" s="49">
        <f>OtherMSP</f>
        <v>684.55479218252299</v>
      </c>
      <c r="E17" s="30">
        <v>1</v>
      </c>
      <c r="F17" s="7">
        <f t="shared" si="0"/>
        <v>684.55479218252299</v>
      </c>
      <c r="G17" s="49">
        <f>OtherMMP</f>
        <v>714.06482252306546</v>
      </c>
      <c r="H17" s="7">
        <f t="shared" si="1"/>
        <v>714.06482252306546</v>
      </c>
      <c r="I17" s="37" t="s">
        <v>83</v>
      </c>
      <c r="J17" s="2"/>
      <c r="K17"/>
      <c r="L17"/>
      <c r="M17"/>
      <c r="N17"/>
      <c r="O17"/>
      <c r="P17"/>
      <c r="Q17"/>
      <c r="R17"/>
      <c r="S17"/>
      <c r="T17"/>
    </row>
    <row r="18" spans="1:20" ht="18" customHeight="1">
      <c r="A18" s="13"/>
      <c r="B18" s="65"/>
      <c r="C18" s="24"/>
      <c r="D18" s="49"/>
      <c r="E18" s="30"/>
      <c r="F18" s="7">
        <f t="shared" si="0"/>
        <v>0</v>
      </c>
      <c r="G18" s="49"/>
      <c r="H18" s="7">
        <f t="shared" si="1"/>
        <v>0</v>
      </c>
      <c r="I18" s="37"/>
      <c r="J18" s="2"/>
      <c r="K18"/>
      <c r="L18"/>
      <c r="M18"/>
      <c r="N18"/>
      <c r="O18"/>
      <c r="P18"/>
      <c r="Q18"/>
      <c r="R18"/>
      <c r="S18"/>
      <c r="T18"/>
    </row>
    <row r="19" spans="1:20" ht="18" customHeight="1">
      <c r="A19" s="13"/>
      <c r="B19" s="65"/>
      <c r="C19" s="24"/>
      <c r="D19" s="49"/>
      <c r="E19" s="30"/>
      <c r="F19" s="7">
        <f t="shared" si="0"/>
        <v>0</v>
      </c>
      <c r="G19" s="49"/>
      <c r="H19" s="7">
        <f t="shared" si="1"/>
        <v>0</v>
      </c>
      <c r="I19" s="37"/>
      <c r="J19" s="2"/>
      <c r="K19"/>
      <c r="L19"/>
      <c r="M19"/>
      <c r="N19"/>
      <c r="O19"/>
      <c r="P19"/>
      <c r="Q19"/>
      <c r="R19"/>
      <c r="S19"/>
      <c r="T19"/>
    </row>
    <row r="20" spans="1:20" ht="18" customHeight="1">
      <c r="A20" s="13"/>
      <c r="B20" s="34"/>
      <c r="C20" s="24"/>
      <c r="D20" s="49"/>
      <c r="E20" s="30"/>
      <c r="F20" s="7">
        <f t="shared" si="0"/>
        <v>0</v>
      </c>
      <c r="G20" s="49"/>
      <c r="H20" s="7">
        <f t="shared" si="1"/>
        <v>0</v>
      </c>
      <c r="I20" s="37"/>
      <c r="J20" s="2"/>
      <c r="K20"/>
      <c r="L20"/>
      <c r="M20"/>
      <c r="N20"/>
      <c r="O20"/>
      <c r="P20"/>
      <c r="Q20"/>
      <c r="R20"/>
      <c r="S20"/>
      <c r="T20"/>
    </row>
    <row r="21" spans="1:20" ht="18" customHeight="1">
      <c r="A21" s="13"/>
      <c r="B21" s="34"/>
      <c r="C21" s="24"/>
      <c r="D21" s="49"/>
      <c r="E21" s="30"/>
      <c r="F21" s="7">
        <f t="shared" si="0"/>
        <v>0</v>
      </c>
      <c r="G21" s="49"/>
      <c r="H21" s="7">
        <f t="shared" si="1"/>
        <v>0</v>
      </c>
      <c r="I21" s="37"/>
      <c r="J21" s="2"/>
    </row>
    <row r="22" spans="1:20">
      <c r="A22"/>
      <c r="B22"/>
      <c r="C22"/>
      <c r="D22"/>
      <c r="E22" s="15" t="s">
        <v>62</v>
      </c>
      <c r="F22" s="8">
        <f>SUM(F10:F21)</f>
        <v>5072.7626185504132</v>
      </c>
      <c r="G22" s="15" t="s">
        <v>61</v>
      </c>
      <c r="H22" s="8">
        <f>SUM(H10:H21)</f>
        <v>5252.8060475630655</v>
      </c>
      <c r="I22"/>
      <c r="J22"/>
    </row>
  </sheetData>
  <sheetProtection algorithmName="SHA-512" hashValue="yQyu7D8aLTtb368JPcNS9/ghlnSbkpVWOSqSES2tbMezt3mGKj5/7o4aL+25muV9l+v1JHf3wz4e5abl9ZKv4g==" saltValue="lKWzHiKB6QOxqTRA016p3A==" spinCount="100000" sheet="1" scenarios="1"/>
  <mergeCells count="3">
    <mergeCell ref="D2:F2"/>
    <mergeCell ref="A5:F7"/>
    <mergeCell ref="A2:B2"/>
  </mergeCells>
  <conditionalFormatting sqref="G10:G21">
    <cfRule type="expression" dxfId="41" priority="9">
      <formula>_xlfn.ISFORMULA(G10)</formula>
    </cfRule>
  </conditionalFormatting>
  <conditionalFormatting sqref="A3:B3">
    <cfRule type="expression" dxfId="40" priority="5">
      <formula>_xlfn.ISFORMULA(A3)</formula>
    </cfRule>
  </conditionalFormatting>
  <conditionalFormatting sqref="B10:B19">
    <cfRule type="expression" dxfId="39" priority="2">
      <formula>_xlfn.ISFORMULA(B10)</formula>
    </cfRule>
  </conditionalFormatting>
  <conditionalFormatting sqref="D10:D19">
    <cfRule type="expression" dxfId="38" priority="1">
      <formula>_xlfn.ISFORMULA(D10)</formula>
    </cfRule>
  </conditionalFormatting>
  <dataValidations count="2">
    <dataValidation type="decimal" operator="greaterThan" allowBlank="1" showInputMessage="1" showErrorMessage="1" sqref="A3" xr:uid="{B3B98260-93F1-49D5-A16C-49C6EDF23F95}">
      <formula1>0</formula1>
    </dataValidation>
    <dataValidation type="list" allowBlank="1" showInputMessage="1" showErrorMessage="1" sqref="H6:H7" xr:uid="{FCFA17B3-4834-45EB-8BEF-31F6ACC30564}">
      <formula1>"True,False"</formula1>
    </dataValidation>
  </dataValidations>
  <pageMargins left="0.7" right="0.7" top="0.75" bottom="0.75" header="0.3" footer="0.3"/>
  <pageSetup scale="65" orientation="landscape"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3169" r:id="rId4" name="Button 97">
              <controlPr defaultSize="0" print="0" autoFill="0" autoPict="0" macro="[0]!LoadFile">
                <anchor moveWithCells="1" sizeWithCells="1">
                  <from>
                    <xdr:col>3</xdr:col>
                    <xdr:colOff>127000</xdr:colOff>
                    <xdr:row>2</xdr:row>
                    <xdr:rowOff>31750</xdr:rowOff>
                  </from>
                  <to>
                    <xdr:col>3</xdr:col>
                    <xdr:colOff>901700</xdr:colOff>
                    <xdr:row>3</xdr:row>
                    <xdr:rowOff>25400</xdr:rowOff>
                  </to>
                </anchor>
              </controlPr>
            </control>
          </mc:Choice>
        </mc:AlternateContent>
        <mc:AlternateContent xmlns:mc="http://schemas.openxmlformats.org/markup-compatibility/2006">
          <mc:Choice Requires="x14">
            <control shapeId="3334" r:id="rId5" name="Button 262">
              <controlPr defaultSize="0" print="0" autoFill="0" autoPict="0" macro="[0]!SaveFile">
                <anchor moveWithCells="1" sizeWithCells="1">
                  <from>
                    <xdr:col>4</xdr:col>
                    <xdr:colOff>63500</xdr:colOff>
                    <xdr:row>2</xdr:row>
                    <xdr:rowOff>25400</xdr:rowOff>
                  </from>
                  <to>
                    <xdr:col>4</xdr:col>
                    <xdr:colOff>787400</xdr:colOff>
                    <xdr:row>2</xdr:row>
                    <xdr:rowOff>222250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3D97C8-C36C-47F3-A6C0-A39842126995}">
  <sheetPr codeName="Sheet17">
    <pageSetUpPr fitToPage="1"/>
  </sheetPr>
  <dimension ref="A1:O23"/>
  <sheetViews>
    <sheetView topLeftCell="A7" workbookViewId="0">
      <selection activeCell="B23" sqref="B23"/>
    </sheetView>
  </sheetViews>
  <sheetFormatPr defaultColWidth="8.90625" defaultRowHeight="14.5"/>
  <cols>
    <col min="1" max="1" width="15.6328125" style="1" customWidth="1"/>
    <col min="2" max="2" width="12.36328125" style="1" customWidth="1"/>
    <col min="3" max="3" width="11.6328125" style="1" customWidth="1"/>
    <col min="4" max="4" width="12.6328125" style="1" customWidth="1"/>
    <col min="5" max="5" width="12.81640625" style="1" customWidth="1"/>
    <col min="6" max="6" width="13.6328125" style="1" customWidth="1"/>
    <col min="7" max="7" width="15.6328125" style="1" customWidth="1"/>
    <col min="8" max="8" width="13.54296875" style="1" customWidth="1"/>
    <col min="9" max="9" width="4.6328125" style="1" customWidth="1"/>
    <col min="10" max="10" width="78.90625" style="1" customWidth="1"/>
    <col min="11" max="16384" width="8.90625" style="1"/>
  </cols>
  <sheetData>
    <row r="1" spans="1:15" ht="18" customHeight="1">
      <c r="A1" s="14" t="s">
        <v>1</v>
      </c>
      <c r="B1"/>
      <c r="C1"/>
      <c r="D1" s="25"/>
      <c r="E1"/>
      <c r="F1"/>
      <c r="G1"/>
      <c r="H1"/>
      <c r="I1"/>
      <c r="J1"/>
    </row>
    <row r="2" spans="1:15" ht="18" customHeight="1">
      <c r="A2" s="71" t="s">
        <v>5</v>
      </c>
      <c r="B2" s="71"/>
      <c r="C2"/>
      <c r="D2" s="26"/>
      <c r="E2" s="27"/>
      <c r="F2"/>
      <c r="G2"/>
      <c r="H2" s="16"/>
      <c r="I2" t="s">
        <v>9</v>
      </c>
      <c r="J2"/>
    </row>
    <row r="3" spans="1:15" ht="18" customHeight="1">
      <c r="A3" s="9">
        <v>1500000</v>
      </c>
      <c r="B3" s="17" t="s">
        <v>22</v>
      </c>
      <c r="C3"/>
      <c r="D3"/>
      <c r="E3"/>
      <c r="F3"/>
      <c r="G3"/>
      <c r="H3" s="17"/>
      <c r="I3" t="s">
        <v>10</v>
      </c>
      <c r="J3"/>
    </row>
    <row r="4" spans="1:15" ht="18" customHeight="1">
      <c r="A4"/>
      <c r="B4"/>
      <c r="C4"/>
      <c r="D4"/>
      <c r="E4"/>
      <c r="F4"/>
      <c r="G4"/>
      <c r="H4" s="18"/>
      <c r="I4" t="s">
        <v>43</v>
      </c>
      <c r="J4"/>
    </row>
    <row r="5" spans="1:15" ht="18" customHeight="1">
      <c r="A5" s="70" t="s">
        <v>85</v>
      </c>
      <c r="B5" s="72"/>
      <c r="C5" s="72"/>
      <c r="D5" s="72"/>
      <c r="E5" s="72"/>
      <c r="F5" s="72"/>
      <c r="G5"/>
      <c r="H5" s="19"/>
      <c r="I5" t="s">
        <v>8</v>
      </c>
      <c r="J5"/>
    </row>
    <row r="6" spans="1:15" ht="18" customHeight="1">
      <c r="A6" s="72"/>
      <c r="B6" s="72"/>
      <c r="C6" s="72"/>
      <c r="D6" s="72"/>
      <c r="E6" s="72"/>
      <c r="F6" s="72"/>
      <c r="G6"/>
      <c r="H6"/>
      <c r="I6"/>
      <c r="J6"/>
    </row>
    <row r="7" spans="1:15" ht="18" customHeight="1">
      <c r="A7" s="72"/>
      <c r="B7" s="72"/>
      <c r="C7" s="72"/>
      <c r="D7" s="72"/>
      <c r="E7" s="72"/>
      <c r="F7" s="72"/>
      <c r="G7"/>
      <c r="H7"/>
      <c r="I7"/>
      <c r="J7"/>
    </row>
    <row r="8" spans="1:15" ht="18" customHeight="1">
      <c r="A8" s="20"/>
      <c r="B8"/>
      <c r="C8"/>
      <c r="D8"/>
      <c r="E8"/>
      <c r="F8"/>
      <c r="G8"/>
      <c r="H8"/>
      <c r="I8"/>
      <c r="J8"/>
    </row>
    <row r="9" spans="1:15" s="3" customFormat="1" ht="29.75" customHeight="1">
      <c r="A9" s="21" t="s">
        <v>0</v>
      </c>
      <c r="B9" s="64" t="s">
        <v>16</v>
      </c>
      <c r="C9" s="22" t="s">
        <v>4</v>
      </c>
      <c r="D9" s="64" t="s">
        <v>3</v>
      </c>
      <c r="E9" s="22" t="str">
        <f>CONCATENATE("Intrinsic Units per ",B3)</f>
        <v>Intrinsic Units per kWdc</v>
      </c>
      <c r="F9" s="22" t="str">
        <f>CONCATENATE("Cost Element per ",$B$3)</f>
        <v>Cost Element per kWdc</v>
      </c>
      <c r="G9" s="64" t="s">
        <v>19</v>
      </c>
      <c r="H9" s="22" t="str">
        <f>CONCATENATE("Price Element per ",$B$3)</f>
        <v>Price Element per kWdc</v>
      </c>
      <c r="I9" t="s">
        <v>65</v>
      </c>
      <c r="J9" t="s">
        <v>15</v>
      </c>
      <c r="K9" s="1"/>
      <c r="L9" s="1"/>
      <c r="M9" s="1"/>
      <c r="N9" s="1"/>
      <c r="O9" s="1"/>
    </row>
    <row r="10" spans="1:15" ht="18" customHeight="1">
      <c r="A10" s="13" t="s">
        <v>86</v>
      </c>
      <c r="B10" s="6"/>
      <c r="C10" s="28" t="s">
        <v>22</v>
      </c>
      <c r="D10" s="4">
        <v>115</v>
      </c>
      <c r="E10" s="30">
        <f>1/CellToModule</f>
        <v>1.0204081632653061</v>
      </c>
      <c r="F10" s="7">
        <f t="shared" ref="F10:F21" si="0">($B10/$A$3+$E10*$D10)*includerow($I10,IncludeESS,IncludeIndirect)</f>
        <v>117.34693877551021</v>
      </c>
      <c r="G10" s="10">
        <v>130</v>
      </c>
      <c r="H10" s="12">
        <f t="shared" ref="H10:H21" si="1">IF($G10&lt;&gt;0,$G10*$E10*includerow($I10,IncludeESS,IncludeIndirect),($B10/$A$3+$D10*$E10)*includerow($I10,IncludeESS,IncludeIndirect))</f>
        <v>132.65306122448979</v>
      </c>
      <c r="I10" s="37"/>
      <c r="J10" s="2" t="s">
        <v>87</v>
      </c>
    </row>
    <row r="11" spans="1:15" ht="18" customHeight="1">
      <c r="A11" s="13" t="s">
        <v>88</v>
      </c>
      <c r="B11" s="6"/>
      <c r="C11" s="28" t="s">
        <v>89</v>
      </c>
      <c r="D11" s="4">
        <v>1.5</v>
      </c>
      <c r="E11" s="30">
        <f>2*(ModuleWidth+ModuleHeight)/(ModuleWidth*ModuleHeight*ModuleEfficiency)</f>
        <v>9.3092247632254317</v>
      </c>
      <c r="F11" s="7">
        <f t="shared" si="0"/>
        <v>13.963837144838148</v>
      </c>
      <c r="G11" s="10"/>
      <c r="H11" s="12">
        <f t="shared" si="1"/>
        <v>13.963837144838148</v>
      </c>
      <c r="I11" s="37"/>
      <c r="J11" s="2"/>
    </row>
    <row r="12" spans="1:15" ht="18" customHeight="1">
      <c r="A12" s="13" t="s">
        <v>90</v>
      </c>
      <c r="B12" s="6"/>
      <c r="C12" s="28" t="s">
        <v>91</v>
      </c>
      <c r="D12" s="4">
        <v>7.7</v>
      </c>
      <c r="E12" s="30">
        <f>1/ModuleEfficiency</f>
        <v>5</v>
      </c>
      <c r="F12" s="7">
        <f t="shared" si="0"/>
        <v>38.5</v>
      </c>
      <c r="G12" s="10"/>
      <c r="H12" s="12">
        <f t="shared" si="1"/>
        <v>38.5</v>
      </c>
      <c r="I12" s="37"/>
      <c r="J12" s="2" t="s">
        <v>92</v>
      </c>
    </row>
    <row r="13" spans="1:15" ht="18" customHeight="1">
      <c r="A13" s="13" t="s">
        <v>93</v>
      </c>
      <c r="B13" s="6"/>
      <c r="C13" s="28" t="s">
        <v>94</v>
      </c>
      <c r="D13" s="4">
        <v>6.3</v>
      </c>
      <c r="E13" s="30">
        <f>1/(ModuleEfficiency*ModuleHeight*ModuleWidth)</f>
        <v>0.90468656591112073</v>
      </c>
      <c r="F13" s="7">
        <f t="shared" si="0"/>
        <v>5.6995253652400608</v>
      </c>
      <c r="G13" s="10"/>
      <c r="H13" s="12">
        <f t="shared" si="1"/>
        <v>5.6995253652400608</v>
      </c>
      <c r="I13" s="37"/>
      <c r="J13" s="2" t="s">
        <v>95</v>
      </c>
    </row>
    <row r="14" spans="1:15" ht="18" customHeight="1">
      <c r="A14" s="13" t="s">
        <v>96</v>
      </c>
      <c r="B14" s="6">
        <v>700000</v>
      </c>
      <c r="C14" s="28" t="s">
        <v>97</v>
      </c>
      <c r="D14" s="4">
        <v>3</v>
      </c>
      <c r="E14" s="30">
        <f>ModuleLabor/ModuleEfficiency</f>
        <v>0.54499999999999993</v>
      </c>
      <c r="F14" s="7">
        <f t="shared" si="0"/>
        <v>2.1016666666666666</v>
      </c>
      <c r="G14" s="10"/>
      <c r="H14" s="12">
        <f t="shared" si="1"/>
        <v>2.1016666666666666</v>
      </c>
      <c r="I14" s="37"/>
      <c r="J14" s="2" t="s">
        <v>98</v>
      </c>
    </row>
    <row r="15" spans="1:15" ht="18" customHeight="1">
      <c r="A15" s="13" t="s">
        <v>99</v>
      </c>
      <c r="B15" s="6"/>
      <c r="C15" s="28" t="s">
        <v>100</v>
      </c>
      <c r="D15" s="4">
        <v>0.06</v>
      </c>
      <c r="E15" s="30">
        <f>ModuleElectricity/ModuleEfficiency</f>
        <v>28.95</v>
      </c>
      <c r="F15" s="7">
        <f t="shared" si="0"/>
        <v>1.7369999999999999</v>
      </c>
      <c r="G15" s="10"/>
      <c r="H15" s="12">
        <f t="shared" si="1"/>
        <v>1.7369999999999999</v>
      </c>
      <c r="I15" s="37" t="s">
        <v>83</v>
      </c>
      <c r="J15" s="2" t="s">
        <v>101</v>
      </c>
    </row>
    <row r="16" spans="1:15" ht="18" customHeight="1">
      <c r="A16" s="13" t="s">
        <v>102</v>
      </c>
      <c r="B16" s="6"/>
      <c r="C16" s="28" t="s">
        <v>103</v>
      </c>
      <c r="D16" s="4">
        <v>45</v>
      </c>
      <c r="E16" s="30">
        <f>ModuleDepreciation</f>
        <v>0.11799999999999999</v>
      </c>
      <c r="F16" s="7">
        <f t="shared" si="0"/>
        <v>5.31</v>
      </c>
      <c r="G16" s="10"/>
      <c r="H16" s="12">
        <f t="shared" si="1"/>
        <v>5.31</v>
      </c>
      <c r="I16" s="37" t="s">
        <v>83</v>
      </c>
      <c r="J16" s="2" t="s">
        <v>104</v>
      </c>
    </row>
    <row r="17" spans="1:10" ht="18" customHeight="1">
      <c r="A17" s="13" t="s">
        <v>105</v>
      </c>
      <c r="B17" s="6"/>
      <c r="C17" s="28" t="s">
        <v>22</v>
      </c>
      <c r="D17" s="4">
        <v>1.8</v>
      </c>
      <c r="E17" s="30">
        <v>1</v>
      </c>
      <c r="F17" s="7">
        <f t="shared" si="0"/>
        <v>1.8</v>
      </c>
      <c r="G17" s="10"/>
      <c r="H17" s="12">
        <f t="shared" si="1"/>
        <v>1.8</v>
      </c>
      <c r="I17" s="37" t="s">
        <v>83</v>
      </c>
      <c r="J17" s="2" t="s">
        <v>106</v>
      </c>
    </row>
    <row r="18" spans="1:10" ht="18" customHeight="1">
      <c r="A18" s="13" t="s">
        <v>107</v>
      </c>
      <c r="B18" s="6"/>
      <c r="C18" s="28" t="s">
        <v>22</v>
      </c>
      <c r="D18" s="66">
        <f>(D16+SUM(F10:F17)/4)*ModuleProfitMSP</f>
        <v>13.742211298209565</v>
      </c>
      <c r="E18" s="30">
        <v>1</v>
      </c>
      <c r="F18" s="7">
        <f t="shared" si="0"/>
        <v>13.742211298209565</v>
      </c>
      <c r="G18" s="75">
        <f>ModuleMarketPrice-SUM(H10:H17,H19:H21)</f>
        <v>99.734909598765341</v>
      </c>
      <c r="H18" s="12">
        <f t="shared" si="1"/>
        <v>99.734909598765341</v>
      </c>
      <c r="I18" s="37" t="s">
        <v>83</v>
      </c>
      <c r="J18" s="2" t="s">
        <v>108</v>
      </c>
    </row>
    <row r="19" spans="1:10" ht="18" customHeight="1">
      <c r="A19" s="13" t="s">
        <v>109</v>
      </c>
      <c r="B19" s="6"/>
      <c r="C19" s="28" t="s">
        <v>110</v>
      </c>
      <c r="D19" s="4">
        <v>0.6</v>
      </c>
      <c r="E19" s="30">
        <f>ModuleWeight/ModuleEfficiency</f>
        <v>57.5</v>
      </c>
      <c r="F19" s="7">
        <f t="shared" si="0"/>
        <v>34.5</v>
      </c>
      <c r="G19" s="10"/>
      <c r="H19" s="12">
        <f t="shared" si="1"/>
        <v>34.5</v>
      </c>
      <c r="I19" s="37" t="s">
        <v>83</v>
      </c>
      <c r="J19" s="2" t="s">
        <v>111</v>
      </c>
    </row>
    <row r="20" spans="1:10" ht="18" customHeight="1">
      <c r="A20" s="13"/>
      <c r="B20" s="6"/>
      <c r="C20" s="28"/>
      <c r="D20" s="4"/>
      <c r="E20" s="30"/>
      <c r="F20" s="7">
        <f t="shared" si="0"/>
        <v>0</v>
      </c>
      <c r="G20" s="10"/>
      <c r="H20" s="12">
        <f t="shared" si="1"/>
        <v>0</v>
      </c>
      <c r="I20" s="37"/>
      <c r="J20" s="2"/>
    </row>
    <row r="21" spans="1:10" ht="18" customHeight="1">
      <c r="A21" s="13"/>
      <c r="B21" s="6"/>
      <c r="C21" s="28"/>
      <c r="D21" s="4"/>
      <c r="E21" s="30"/>
      <c r="F21" s="7">
        <f t="shared" si="0"/>
        <v>0</v>
      </c>
      <c r="G21" s="10"/>
      <c r="H21" s="12">
        <f t="shared" si="1"/>
        <v>0</v>
      </c>
      <c r="I21" s="37"/>
      <c r="J21" s="2"/>
    </row>
    <row r="22" spans="1:10">
      <c r="A22"/>
      <c r="B22"/>
      <c r="C22"/>
      <c r="D22"/>
      <c r="E22" s="15" t="s">
        <v>62</v>
      </c>
      <c r="F22" s="8">
        <f>SUM(F10:F21)</f>
        <v>234.70117925046463</v>
      </c>
      <c r="G22" s="15" t="s">
        <v>61</v>
      </c>
      <c r="H22" s="8">
        <f>SUM(H10:H21)</f>
        <v>336</v>
      </c>
      <c r="I22"/>
      <c r="J22"/>
    </row>
    <row r="23" spans="1:10">
      <c r="F23" s="11"/>
    </row>
  </sheetData>
  <sheetProtection algorithmName="SHA-512" hashValue="lixjiw8I645ThM7gNZmjaoYYGC2sJ7R3rCHNwxnn3g6zXJC9bX3JjcxxveE1/2RG5podaAs4M3bnMRNzgFLvdw==" saltValue="//5CQ+2Jvan30TD7WKLRzw==" spinCount="100000" sheet="1" scenarios="1"/>
  <mergeCells count="2">
    <mergeCell ref="A2:B2"/>
    <mergeCell ref="A5:F7"/>
  </mergeCells>
  <conditionalFormatting sqref="B10:B21 D10:D21 G10:G21">
    <cfRule type="expression" dxfId="37" priority="2">
      <formula>_xlfn.ISFORMULA(B10)</formula>
    </cfRule>
  </conditionalFormatting>
  <conditionalFormatting sqref="A3:B3">
    <cfRule type="expression" dxfId="36" priority="1">
      <formula>_xlfn.ISFORMULA(A3)</formula>
    </cfRule>
  </conditionalFormatting>
  <dataValidations count="1">
    <dataValidation type="decimal" operator="greaterThan" allowBlank="1" showInputMessage="1" showErrorMessage="1" sqref="A3" xr:uid="{35F1D273-0669-4D30-987F-74A92810619A}">
      <formula1>0</formula1>
    </dataValidation>
  </dataValidations>
  <pageMargins left="0.7" right="0.7" top="0.75" bottom="0.75" header="0.3" footer="0.3"/>
  <pageSetup scale="62" orientation="landscape"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31745" r:id="rId4" name="Button 1">
              <controlPr defaultSize="0" print="0" autoFill="0" autoPict="0" macro="[0]!LoadSheet">
                <anchor moveWithCells="1" sizeWithCells="1">
                  <from>
                    <xdr:col>3</xdr:col>
                    <xdr:colOff>69850</xdr:colOff>
                    <xdr:row>2</xdr:row>
                    <xdr:rowOff>25400</xdr:rowOff>
                  </from>
                  <to>
                    <xdr:col>3</xdr:col>
                    <xdr:colOff>831850</xdr:colOff>
                    <xdr:row>2</xdr:row>
                    <xdr:rowOff>222250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675638-BBA8-460B-B939-5B09FEED93D9}">
  <sheetPr codeName="Sheet16">
    <pageSetUpPr fitToPage="1"/>
  </sheetPr>
  <dimension ref="A1:O23"/>
  <sheetViews>
    <sheetView workbookViewId="0">
      <selection activeCell="C8" sqref="C8"/>
    </sheetView>
  </sheetViews>
  <sheetFormatPr defaultColWidth="8.90625" defaultRowHeight="14.5"/>
  <cols>
    <col min="1" max="1" width="15.6328125" style="1" customWidth="1"/>
    <col min="2" max="2" width="12.36328125" style="1" customWidth="1"/>
    <col min="3" max="3" width="11.6328125" style="1" customWidth="1"/>
    <col min="4" max="4" width="12.6328125" style="1" customWidth="1"/>
    <col min="5" max="5" width="12.81640625" style="1" customWidth="1"/>
    <col min="6" max="6" width="13.6328125" style="1" customWidth="1"/>
    <col min="7" max="7" width="15.6328125" style="1" customWidth="1"/>
    <col min="8" max="8" width="13.54296875" style="1" customWidth="1"/>
    <col min="9" max="9" width="4.6328125" style="1" customWidth="1"/>
    <col min="10" max="10" width="78.54296875" style="1" customWidth="1"/>
    <col min="11" max="16384" width="8.90625" style="1"/>
  </cols>
  <sheetData>
    <row r="1" spans="1:15" ht="18" customHeight="1">
      <c r="A1" s="14" t="s">
        <v>2</v>
      </c>
      <c r="B1"/>
      <c r="C1"/>
      <c r="D1" s="25"/>
      <c r="E1"/>
      <c r="F1"/>
      <c r="G1"/>
      <c r="H1"/>
      <c r="I1"/>
      <c r="J1"/>
    </row>
    <row r="2" spans="1:15" ht="18" customHeight="1">
      <c r="A2" s="71" t="s">
        <v>5</v>
      </c>
      <c r="B2" s="71"/>
      <c r="C2"/>
      <c r="D2" s="26"/>
      <c r="E2" s="27"/>
      <c r="F2"/>
      <c r="G2"/>
      <c r="H2" s="16"/>
      <c r="I2" t="s">
        <v>9</v>
      </c>
      <c r="J2"/>
    </row>
    <row r="3" spans="1:15" ht="18" customHeight="1">
      <c r="A3" s="9">
        <v>1000000</v>
      </c>
      <c r="B3" s="17" t="s">
        <v>74</v>
      </c>
      <c r="C3"/>
      <c r="D3"/>
      <c r="E3"/>
      <c r="F3"/>
      <c r="G3"/>
      <c r="H3" s="17"/>
      <c r="I3" t="s">
        <v>10</v>
      </c>
      <c r="J3"/>
    </row>
    <row r="4" spans="1:15" ht="18" customHeight="1">
      <c r="A4"/>
      <c r="B4"/>
      <c r="C4"/>
      <c r="D4"/>
      <c r="E4"/>
      <c r="F4"/>
      <c r="G4"/>
      <c r="H4" s="18"/>
      <c r="I4" t="s">
        <v>43</v>
      </c>
      <c r="J4"/>
    </row>
    <row r="5" spans="1:15" ht="18" customHeight="1">
      <c r="A5" s="70" t="s">
        <v>281</v>
      </c>
      <c r="B5" s="72"/>
      <c r="C5" s="72"/>
      <c r="D5" s="72"/>
      <c r="E5" s="72"/>
      <c r="F5" s="72"/>
      <c r="G5"/>
      <c r="H5" s="19"/>
      <c r="I5" t="s">
        <v>8</v>
      </c>
      <c r="J5"/>
    </row>
    <row r="6" spans="1:15" ht="18" customHeight="1">
      <c r="A6" s="72"/>
      <c r="B6" s="72"/>
      <c r="C6" s="72"/>
      <c r="D6" s="72"/>
      <c r="E6" s="72"/>
      <c r="F6" s="72"/>
      <c r="G6"/>
      <c r="H6"/>
      <c r="I6"/>
      <c r="J6"/>
    </row>
    <row r="7" spans="1:15" ht="18" customHeight="1">
      <c r="A7" s="72"/>
      <c r="B7" s="72"/>
      <c r="C7" s="72"/>
      <c r="D7" s="72"/>
      <c r="E7" s="72"/>
      <c r="F7" s="72"/>
      <c r="G7"/>
      <c r="H7"/>
      <c r="I7"/>
      <c r="J7"/>
    </row>
    <row r="8" spans="1:15" ht="18" customHeight="1">
      <c r="A8" s="20"/>
      <c r="B8"/>
      <c r="C8"/>
      <c r="D8"/>
      <c r="E8"/>
      <c r="F8"/>
      <c r="G8"/>
      <c r="H8"/>
      <c r="I8"/>
      <c r="J8"/>
    </row>
    <row r="9" spans="1:15" s="3" customFormat="1" ht="29.75" customHeight="1">
      <c r="A9" s="21" t="s">
        <v>0</v>
      </c>
      <c r="B9" s="64" t="s">
        <v>16</v>
      </c>
      <c r="C9" s="22" t="s">
        <v>4</v>
      </c>
      <c r="D9" s="64" t="s">
        <v>3</v>
      </c>
      <c r="E9" s="22" t="str">
        <f>CONCATENATE("Intrinsic Units per ",B3)</f>
        <v>Intrinsic Units per kWac</v>
      </c>
      <c r="F9" s="22" t="str">
        <f>CONCATENATE("Cost Element per ",$B$3)</f>
        <v>Cost Element per kWac</v>
      </c>
      <c r="G9" s="64" t="s">
        <v>19</v>
      </c>
      <c r="H9" s="22" t="str">
        <f>CONCATENATE("Price Element per ",$B$3)</f>
        <v>Price Element per kWac</v>
      </c>
      <c r="I9" t="s">
        <v>65</v>
      </c>
      <c r="J9" t="s">
        <v>15</v>
      </c>
      <c r="K9" s="1"/>
      <c r="L9" s="1"/>
      <c r="M9" s="1"/>
      <c r="N9" s="1"/>
      <c r="O9" s="1"/>
    </row>
    <row r="10" spans="1:15" ht="18" customHeight="1">
      <c r="A10" s="13" t="s">
        <v>112</v>
      </c>
      <c r="B10" s="6"/>
      <c r="C10" s="28" t="s">
        <v>74</v>
      </c>
      <c r="D10" s="4">
        <v>16</v>
      </c>
      <c r="E10" s="30">
        <v>1</v>
      </c>
      <c r="F10" s="7">
        <f t="shared" ref="F10:F21" si="0">($B10/$A$3+$E10*$D10)*includerow($I10,IncludeESS,IncludeIndirect)</f>
        <v>16</v>
      </c>
      <c r="G10" s="5"/>
      <c r="H10" s="12">
        <f t="shared" ref="H10:H21" si="1">IF($G10&lt;&gt;0,$G10*$E10*includerow($I10,IncludeESS,IncludeIndirect),($B10/$A$3+$D10*$E10)*includerow($I10,IncludeESS,IncludeIndirect))</f>
        <v>16</v>
      </c>
      <c r="I10" s="37"/>
      <c r="J10" s="2" t="s">
        <v>113</v>
      </c>
    </row>
    <row r="11" spans="1:15" ht="18" customHeight="1">
      <c r="A11" s="13" t="s">
        <v>114</v>
      </c>
      <c r="B11" s="6"/>
      <c r="C11" s="28" t="s">
        <v>74</v>
      </c>
      <c r="D11" s="4">
        <v>7.7</v>
      </c>
      <c r="E11" s="30">
        <v>1</v>
      </c>
      <c r="F11" s="7">
        <f t="shared" si="0"/>
        <v>7.7</v>
      </c>
      <c r="G11" s="5"/>
      <c r="H11" s="12">
        <f t="shared" si="1"/>
        <v>7.7</v>
      </c>
      <c r="I11" s="37"/>
      <c r="J11" s="2" t="s">
        <v>282</v>
      </c>
    </row>
    <row r="12" spans="1:15" ht="18" customHeight="1">
      <c r="A12" s="13" t="s">
        <v>115</v>
      </c>
      <c r="B12" s="6"/>
      <c r="C12" s="28" t="s">
        <v>74</v>
      </c>
      <c r="D12" s="4">
        <v>3.3</v>
      </c>
      <c r="E12" s="30">
        <v>1</v>
      </c>
      <c r="F12" s="7">
        <f t="shared" si="0"/>
        <v>3.3</v>
      </c>
      <c r="G12" s="5"/>
      <c r="H12" s="12">
        <f t="shared" si="1"/>
        <v>3.3</v>
      </c>
      <c r="I12" s="37"/>
      <c r="J12" s="2"/>
    </row>
    <row r="13" spans="1:15" ht="18" customHeight="1">
      <c r="A13" s="13" t="s">
        <v>116</v>
      </c>
      <c r="B13" s="6"/>
      <c r="C13" s="28" t="s">
        <v>74</v>
      </c>
      <c r="D13" s="4">
        <v>7.5</v>
      </c>
      <c r="E13" s="30">
        <v>1</v>
      </c>
      <c r="F13" s="7">
        <f t="shared" si="0"/>
        <v>7.5</v>
      </c>
      <c r="G13" s="5"/>
      <c r="H13" s="12">
        <f t="shared" si="1"/>
        <v>7.5</v>
      </c>
      <c r="I13" s="37"/>
      <c r="J13" s="2" t="s">
        <v>117</v>
      </c>
    </row>
    <row r="14" spans="1:15" ht="18" customHeight="1">
      <c r="A14" s="13" t="s">
        <v>96</v>
      </c>
      <c r="B14" s="6">
        <v>350000</v>
      </c>
      <c r="C14" s="28" t="s">
        <v>97</v>
      </c>
      <c r="D14" s="4">
        <v>16</v>
      </c>
      <c r="E14" s="30">
        <f>InverterLabor</f>
        <v>4.4999999999999998E-2</v>
      </c>
      <c r="F14" s="7">
        <f t="shared" si="0"/>
        <v>1.0699999999999998</v>
      </c>
      <c r="G14" s="5"/>
      <c r="H14" s="12">
        <f t="shared" si="1"/>
        <v>1.0699999999999998</v>
      </c>
      <c r="I14" s="37"/>
      <c r="J14" s="2" t="s">
        <v>118</v>
      </c>
    </row>
    <row r="15" spans="1:15" ht="18" customHeight="1">
      <c r="A15" s="13" t="s">
        <v>99</v>
      </c>
      <c r="B15" s="6"/>
      <c r="C15" s="28" t="s">
        <v>100</v>
      </c>
      <c r="D15" s="4">
        <v>0.08</v>
      </c>
      <c r="E15" s="30">
        <f>InverterElectricity</f>
        <v>8.42</v>
      </c>
      <c r="F15" s="7">
        <f t="shared" si="0"/>
        <v>0.67359999999999998</v>
      </c>
      <c r="G15" s="5"/>
      <c r="H15" s="12">
        <f t="shared" si="1"/>
        <v>0.67359999999999998</v>
      </c>
      <c r="I15" s="37" t="s">
        <v>83</v>
      </c>
      <c r="J15" s="2"/>
    </row>
    <row r="16" spans="1:15" ht="18" customHeight="1">
      <c r="A16" s="13" t="s">
        <v>102</v>
      </c>
      <c r="B16" s="6"/>
      <c r="C16" s="28" t="s">
        <v>119</v>
      </c>
      <c r="D16" s="4">
        <v>6</v>
      </c>
      <c r="E16" s="30">
        <f>InverterDepreciation</f>
        <v>0.125</v>
      </c>
      <c r="F16" s="7">
        <f t="shared" si="0"/>
        <v>0.75</v>
      </c>
      <c r="G16" s="5"/>
      <c r="H16" s="12">
        <f t="shared" si="1"/>
        <v>0.75</v>
      </c>
      <c r="I16" s="37" t="s">
        <v>83</v>
      </c>
      <c r="J16" s="2" t="s">
        <v>283</v>
      </c>
    </row>
    <row r="17" spans="1:10" ht="18" customHeight="1">
      <c r="A17" s="13" t="s">
        <v>105</v>
      </c>
      <c r="B17" s="6"/>
      <c r="C17" s="28" t="s">
        <v>74</v>
      </c>
      <c r="D17" s="4">
        <v>0.24</v>
      </c>
      <c r="E17" s="30">
        <v>1</v>
      </c>
      <c r="F17" s="7">
        <f t="shared" si="0"/>
        <v>0.24</v>
      </c>
      <c r="G17" s="5"/>
      <c r="H17" s="12">
        <f t="shared" si="1"/>
        <v>0.24</v>
      </c>
      <c r="I17" s="37" t="s">
        <v>83</v>
      </c>
      <c r="J17" s="2" t="s">
        <v>131</v>
      </c>
    </row>
    <row r="18" spans="1:10" ht="18" customHeight="1">
      <c r="A18" s="13" t="s">
        <v>107</v>
      </c>
      <c r="B18" s="6"/>
      <c r="C18" s="28" t="s">
        <v>74</v>
      </c>
      <c r="D18" s="66">
        <f>(D16+SUM(F10:F17)/4)*InverterProfitMSP</f>
        <v>2.2962600000000002</v>
      </c>
      <c r="E18" s="30">
        <v>1</v>
      </c>
      <c r="F18" s="7">
        <f t="shared" si="0"/>
        <v>2.2962600000000002</v>
      </c>
      <c r="G18" s="67">
        <f>(InverterMarketPrice-H19)/(1+Tariff301)-SUM(H10:H17)</f>
        <v>3.8303999999999974</v>
      </c>
      <c r="H18" s="12">
        <f t="shared" si="1"/>
        <v>3.8303999999999974</v>
      </c>
      <c r="I18" s="37" t="s">
        <v>83</v>
      </c>
      <c r="J18" s="2" t="s">
        <v>284</v>
      </c>
    </row>
    <row r="19" spans="1:10" ht="18" customHeight="1">
      <c r="A19" s="13" t="s">
        <v>109</v>
      </c>
      <c r="B19" s="6"/>
      <c r="C19" s="29" t="s">
        <v>110</v>
      </c>
      <c r="D19" s="4">
        <v>30</v>
      </c>
      <c r="E19" s="30">
        <f>InverterWeight</f>
        <v>0.78900000000000003</v>
      </c>
      <c r="F19" s="7">
        <f t="shared" si="0"/>
        <v>23.67</v>
      </c>
      <c r="G19" s="5"/>
      <c r="H19" s="12">
        <f t="shared" si="1"/>
        <v>23.67</v>
      </c>
      <c r="I19" s="37" t="s">
        <v>83</v>
      </c>
      <c r="J19" s="2"/>
    </row>
    <row r="20" spans="1:10" ht="18" customHeight="1">
      <c r="A20" s="13" t="s">
        <v>285</v>
      </c>
      <c r="B20" s="6"/>
      <c r="C20" s="24" t="s">
        <v>74</v>
      </c>
      <c r="D20" s="4"/>
      <c r="E20" s="30">
        <v>1</v>
      </c>
      <c r="F20" s="7">
        <f t="shared" si="0"/>
        <v>0</v>
      </c>
      <c r="G20" s="67">
        <f>SUM(H10:H18)*Tariff301</f>
        <v>10.266</v>
      </c>
      <c r="H20" s="12">
        <f t="shared" si="1"/>
        <v>10.266</v>
      </c>
      <c r="I20" s="37" t="s">
        <v>83</v>
      </c>
      <c r="J20" s="2" t="s">
        <v>286</v>
      </c>
    </row>
    <row r="21" spans="1:10" ht="18" customHeight="1">
      <c r="A21" s="13"/>
      <c r="B21" s="6"/>
      <c r="C21" s="24"/>
      <c r="D21" s="4"/>
      <c r="E21" s="30"/>
      <c r="F21" s="7">
        <f t="shared" si="0"/>
        <v>0</v>
      </c>
      <c r="G21" s="5"/>
      <c r="H21" s="12">
        <f t="shared" si="1"/>
        <v>0</v>
      </c>
      <c r="I21" s="37"/>
      <c r="J21" s="2"/>
    </row>
    <row r="22" spans="1:10">
      <c r="A22"/>
      <c r="B22"/>
      <c r="C22"/>
      <c r="D22"/>
      <c r="E22" s="15" t="s">
        <v>62</v>
      </c>
      <c r="F22" s="8">
        <f>SUM(F10:F21)</f>
        <v>63.199860000000001</v>
      </c>
      <c r="G22" s="15" t="s">
        <v>61</v>
      </c>
      <c r="H22" s="8">
        <f>SUM(H10:H21)</f>
        <v>75.000000000000014</v>
      </c>
      <c r="I22"/>
      <c r="J22"/>
    </row>
    <row r="23" spans="1:10">
      <c r="F23" s="11"/>
    </row>
  </sheetData>
  <sheetProtection algorithmName="SHA-512" hashValue="c8aJNk9BqARwQIRnv8b4VX/pzEyXd+iZ1GRizkepVZJDOaw0T0IMZaGJJQ5yGh8Ksfc9SXd4U2dT+ciHOI8dDA==" saltValue="xoBMX1MJ+1xDuZrRyY71HQ==" spinCount="100000" sheet="1" scenarios="1"/>
  <mergeCells count="2">
    <mergeCell ref="A2:B2"/>
    <mergeCell ref="A5:F7"/>
  </mergeCells>
  <conditionalFormatting sqref="B10:B21 D10:D21 G10:G21">
    <cfRule type="expression" dxfId="35" priority="2">
      <formula>_xlfn.ISFORMULA(B10)</formula>
    </cfRule>
  </conditionalFormatting>
  <conditionalFormatting sqref="A3:B3">
    <cfRule type="expression" dxfId="34" priority="1">
      <formula>_xlfn.ISFORMULA(A3)</formula>
    </cfRule>
  </conditionalFormatting>
  <dataValidations count="1">
    <dataValidation type="decimal" operator="greaterThan" allowBlank="1" showInputMessage="1" showErrorMessage="1" sqref="A3" xr:uid="{B13946B9-B1A9-43B8-9BFE-58F781C4E880}">
      <formula1>0</formula1>
    </dataValidation>
  </dataValidations>
  <pageMargins left="0.7" right="0.7" top="0.75" bottom="0.75" header="0.3" footer="0.3"/>
  <pageSetup scale="72" orientation="landscape"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30721" r:id="rId4" name="Button 1">
              <controlPr defaultSize="0" print="0" autoFill="0" autoPict="0" macro="[0]!LoadSheet">
                <anchor moveWithCells="1" sizeWithCells="1">
                  <from>
                    <xdr:col>3</xdr:col>
                    <xdr:colOff>69850</xdr:colOff>
                    <xdr:row>2</xdr:row>
                    <xdr:rowOff>25400</xdr:rowOff>
                  </from>
                  <to>
                    <xdr:col>3</xdr:col>
                    <xdr:colOff>831850</xdr:colOff>
                    <xdr:row>2</xdr:row>
                    <xdr:rowOff>222250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00E99C-08E1-4D07-BD17-DC9CD6C2CEA1}">
  <sheetPr codeName="Sheet13">
    <pageSetUpPr fitToPage="1"/>
  </sheetPr>
  <dimension ref="A1:O28"/>
  <sheetViews>
    <sheetView topLeftCell="A4" workbookViewId="0">
      <selection activeCell="F8" sqref="F8"/>
    </sheetView>
  </sheetViews>
  <sheetFormatPr defaultColWidth="8.90625" defaultRowHeight="14.5"/>
  <cols>
    <col min="1" max="1" width="15.6328125" style="1" customWidth="1"/>
    <col min="2" max="2" width="12.36328125" style="1" customWidth="1"/>
    <col min="3" max="3" width="11.6328125" style="1" customWidth="1"/>
    <col min="4" max="4" width="12.6328125" style="1" customWidth="1"/>
    <col min="5" max="5" width="12.81640625" style="1" customWidth="1"/>
    <col min="6" max="6" width="13.6328125" style="1" customWidth="1"/>
    <col min="7" max="7" width="15.6328125" style="1" customWidth="1"/>
    <col min="8" max="8" width="13.54296875" style="1" customWidth="1"/>
    <col min="9" max="9" width="4.6328125" style="1" customWidth="1"/>
    <col min="10" max="10" width="79.08984375" style="1" customWidth="1"/>
    <col min="11" max="16384" width="8.90625" style="1"/>
  </cols>
  <sheetData>
    <row r="1" spans="1:15" ht="18" customHeight="1">
      <c r="A1" s="14" t="s">
        <v>23</v>
      </c>
      <c r="B1"/>
      <c r="C1"/>
      <c r="D1" s="25"/>
      <c r="E1"/>
      <c r="F1"/>
      <c r="G1"/>
      <c r="H1"/>
      <c r="I1"/>
      <c r="J1"/>
    </row>
    <row r="2" spans="1:15" ht="18" customHeight="1">
      <c r="A2" s="71" t="s">
        <v>5</v>
      </c>
      <c r="B2" s="71"/>
      <c r="C2"/>
      <c r="D2" s="26"/>
      <c r="E2" s="27"/>
      <c r="F2"/>
      <c r="G2"/>
      <c r="H2" s="16"/>
      <c r="I2" t="s">
        <v>9</v>
      </c>
      <c r="J2"/>
    </row>
    <row r="3" spans="1:15" ht="18" customHeight="1">
      <c r="A3" s="9">
        <v>1000000</v>
      </c>
      <c r="B3" s="17" t="s">
        <v>73</v>
      </c>
      <c r="C3"/>
      <c r="D3"/>
      <c r="E3"/>
      <c r="F3"/>
      <c r="G3"/>
      <c r="H3" s="17"/>
      <c r="I3" t="s">
        <v>10</v>
      </c>
      <c r="J3"/>
    </row>
    <row r="4" spans="1:15" ht="18" customHeight="1">
      <c r="A4"/>
      <c r="B4"/>
      <c r="C4"/>
      <c r="D4"/>
      <c r="E4"/>
      <c r="F4"/>
      <c r="G4"/>
      <c r="H4" s="18"/>
      <c r="I4" t="s">
        <v>43</v>
      </c>
      <c r="J4"/>
    </row>
    <row r="5" spans="1:15" ht="18" customHeight="1">
      <c r="A5" s="70" t="s">
        <v>120</v>
      </c>
      <c r="B5" s="72"/>
      <c r="C5" s="72"/>
      <c r="D5" s="72"/>
      <c r="E5" s="72"/>
      <c r="F5" s="72"/>
      <c r="G5"/>
      <c r="H5" s="19"/>
      <c r="I5" t="s">
        <v>8</v>
      </c>
      <c r="J5"/>
    </row>
    <row r="6" spans="1:15" ht="18" customHeight="1">
      <c r="A6" s="72"/>
      <c r="B6" s="72"/>
      <c r="C6" s="72"/>
      <c r="D6" s="72"/>
      <c r="E6" s="72"/>
      <c r="F6" s="72"/>
      <c r="G6"/>
      <c r="H6"/>
      <c r="I6"/>
      <c r="J6"/>
    </row>
    <row r="7" spans="1:15" ht="18" customHeight="1">
      <c r="A7" s="72"/>
      <c r="B7" s="72"/>
      <c r="C7" s="72"/>
      <c r="D7" s="72"/>
      <c r="E7" s="72"/>
      <c r="F7" s="72"/>
      <c r="G7"/>
      <c r="H7"/>
      <c r="I7"/>
      <c r="J7"/>
    </row>
    <row r="8" spans="1:15" ht="18" customHeight="1">
      <c r="A8" s="20"/>
      <c r="B8"/>
      <c r="C8"/>
      <c r="D8"/>
      <c r="E8"/>
      <c r="F8"/>
      <c r="G8"/>
      <c r="H8"/>
      <c r="I8"/>
      <c r="J8"/>
    </row>
    <row r="9" spans="1:15" s="3" customFormat="1" ht="29.75" customHeight="1">
      <c r="A9" s="21" t="s">
        <v>0</v>
      </c>
      <c r="B9" s="64" t="s">
        <v>16</v>
      </c>
      <c r="C9" s="22" t="s">
        <v>4</v>
      </c>
      <c r="D9" s="64" t="s">
        <v>3</v>
      </c>
      <c r="E9" s="22" t="str">
        <f>CONCATENATE("Intrinsic Units per ",B3)</f>
        <v>Intrinsic Units per kWh-cap</v>
      </c>
      <c r="F9" s="22" t="str">
        <f>CONCATENATE("Cost Element per ",$B$3)</f>
        <v>Cost Element per kWh-cap</v>
      </c>
      <c r="G9" s="64" t="s">
        <v>19</v>
      </c>
      <c r="H9" s="22" t="str">
        <f>CONCATENATE("Price Element per ",$B$3)</f>
        <v>Price Element per kWh-cap</v>
      </c>
      <c r="I9" t="s">
        <v>65</v>
      </c>
      <c r="J9" t="s">
        <v>15</v>
      </c>
      <c r="K9" s="1"/>
      <c r="L9" s="1"/>
      <c r="M9" s="1"/>
      <c r="N9" s="1"/>
      <c r="O9" s="1"/>
    </row>
    <row r="10" spans="1:15" ht="18" customHeight="1">
      <c r="A10" s="13" t="s">
        <v>121</v>
      </c>
      <c r="B10" s="6"/>
      <c r="C10" s="28" t="s">
        <v>73</v>
      </c>
      <c r="D10" s="4">
        <v>75</v>
      </c>
      <c r="E10" s="30">
        <v>1</v>
      </c>
      <c r="F10" s="7">
        <f t="shared" ref="F10:F21" si="0">($B10/$A$3+$E10*$D10)*includerow($I10,IncludeESS,IncludeIndirect)</f>
        <v>75</v>
      </c>
      <c r="G10" s="67">
        <f>D10*(1+0.034+Tariff301)</f>
        <v>96.3</v>
      </c>
      <c r="H10" s="12">
        <f t="shared" ref="H10:H21" si="1">IF($G10&lt;&gt;0,$G10*$E10*includerow($I10,IncludeESS,IncludeIndirect),($B10/$A$3+$D10*$E10)*includerow($I10,IncludeESS,IncludeIndirect))</f>
        <v>96.3</v>
      </c>
      <c r="I10" s="37"/>
      <c r="J10" s="2" t="s">
        <v>122</v>
      </c>
    </row>
    <row r="11" spans="1:15" ht="18" customHeight="1">
      <c r="A11" s="13" t="s">
        <v>123</v>
      </c>
      <c r="B11" s="6"/>
      <c r="C11" s="28" t="s">
        <v>73</v>
      </c>
      <c r="D11" s="4">
        <v>25</v>
      </c>
      <c r="E11" s="30">
        <v>1</v>
      </c>
      <c r="F11" s="7">
        <f t="shared" si="0"/>
        <v>25</v>
      </c>
      <c r="G11" s="5"/>
      <c r="H11" s="12">
        <f t="shared" si="1"/>
        <v>25</v>
      </c>
      <c r="I11" s="37"/>
      <c r="J11" s="2" t="s">
        <v>124</v>
      </c>
    </row>
    <row r="12" spans="1:15" ht="18" customHeight="1">
      <c r="A12" s="13" t="s">
        <v>116</v>
      </c>
      <c r="B12" s="6"/>
      <c r="C12" s="28" t="s">
        <v>73</v>
      </c>
      <c r="D12" s="4">
        <v>20</v>
      </c>
      <c r="E12" s="30">
        <v>1</v>
      </c>
      <c r="F12" s="7">
        <f t="shared" si="0"/>
        <v>20</v>
      </c>
      <c r="G12" s="5"/>
      <c r="H12" s="12">
        <f t="shared" si="1"/>
        <v>20</v>
      </c>
      <c r="I12" s="37"/>
      <c r="J12" s="2" t="s">
        <v>125</v>
      </c>
    </row>
    <row r="13" spans="1:15" ht="18" customHeight="1">
      <c r="A13" s="13" t="s">
        <v>126</v>
      </c>
      <c r="B13" s="6"/>
      <c r="C13" s="28" t="s">
        <v>74</v>
      </c>
      <c r="D13" s="4">
        <v>90</v>
      </c>
      <c r="E13" s="30">
        <f>1/( BatteryDuration* ESS_ILR)</f>
        <v>0.25</v>
      </c>
      <c r="F13" s="7">
        <f t="shared" si="0"/>
        <v>22.5</v>
      </c>
      <c r="G13" s="5"/>
      <c r="H13" s="12">
        <f t="shared" si="1"/>
        <v>22.5</v>
      </c>
      <c r="I13" s="37"/>
      <c r="J13" s="2" t="s">
        <v>127</v>
      </c>
    </row>
    <row r="14" spans="1:15" ht="18" customHeight="1">
      <c r="A14" s="13" t="s">
        <v>96</v>
      </c>
      <c r="B14" s="6">
        <v>2200000</v>
      </c>
      <c r="C14" s="28" t="s">
        <v>97</v>
      </c>
      <c r="D14" s="4">
        <v>34</v>
      </c>
      <c r="E14" s="30">
        <f xml:space="preserve"> ESSLabor</f>
        <v>0.22</v>
      </c>
      <c r="F14" s="7">
        <f t="shared" si="0"/>
        <v>9.68</v>
      </c>
      <c r="G14" s="5"/>
      <c r="H14" s="12">
        <f t="shared" si="1"/>
        <v>9.68</v>
      </c>
      <c r="I14" s="37"/>
      <c r="J14" s="2" t="s">
        <v>118</v>
      </c>
    </row>
    <row r="15" spans="1:15" ht="18" customHeight="1">
      <c r="A15" s="13" t="s">
        <v>99</v>
      </c>
      <c r="B15" s="6"/>
      <c r="C15" s="28" t="s">
        <v>100</v>
      </c>
      <c r="D15" s="4">
        <v>0.08</v>
      </c>
      <c r="E15" s="30">
        <f>ESSElectricity</f>
        <v>30.5</v>
      </c>
      <c r="F15" s="7">
        <f t="shared" si="0"/>
        <v>2.44</v>
      </c>
      <c r="G15" s="5"/>
      <c r="H15" s="12">
        <f t="shared" si="1"/>
        <v>2.44</v>
      </c>
      <c r="I15" s="37" t="s">
        <v>83</v>
      </c>
      <c r="J15" s="2" t="s">
        <v>128</v>
      </c>
    </row>
    <row r="16" spans="1:15" ht="18" customHeight="1">
      <c r="A16" s="13" t="s">
        <v>102</v>
      </c>
      <c r="B16" s="6"/>
      <c r="C16" s="28" t="s">
        <v>129</v>
      </c>
      <c r="D16" s="4">
        <v>7</v>
      </c>
      <c r="E16" s="30">
        <f>ESSDepreciation</f>
        <v>0.11</v>
      </c>
      <c r="F16" s="7">
        <f t="shared" si="0"/>
        <v>0.77</v>
      </c>
      <c r="G16" s="5"/>
      <c r="H16" s="12">
        <f t="shared" si="1"/>
        <v>0.77</v>
      </c>
      <c r="I16" s="37" t="s">
        <v>83</v>
      </c>
      <c r="J16" s="2" t="s">
        <v>130</v>
      </c>
    </row>
    <row r="17" spans="1:10" ht="18" customHeight="1">
      <c r="A17" s="13" t="s">
        <v>105</v>
      </c>
      <c r="B17" s="6"/>
      <c r="C17" s="28" t="s">
        <v>73</v>
      </c>
      <c r="D17" s="4">
        <v>0.28000000000000003</v>
      </c>
      <c r="E17" s="30">
        <v>1</v>
      </c>
      <c r="F17" s="7">
        <f t="shared" si="0"/>
        <v>0.28000000000000003</v>
      </c>
      <c r="G17" s="5"/>
      <c r="H17" s="12">
        <f t="shared" si="1"/>
        <v>0.28000000000000003</v>
      </c>
      <c r="I17" s="37" t="s">
        <v>83</v>
      </c>
      <c r="J17" s="2" t="s">
        <v>131</v>
      </c>
    </row>
    <row r="18" spans="1:10" ht="18" customHeight="1">
      <c r="A18" s="13" t="s">
        <v>107</v>
      </c>
      <c r="B18" s="6"/>
      <c r="C18" s="28" t="s">
        <v>73</v>
      </c>
      <c r="D18" s="66">
        <f>(D16+SUM(F10:F17)/4)*ESSProfitMSP</f>
        <v>11.479375000000001</v>
      </c>
      <c r="E18" s="30">
        <v>1</v>
      </c>
      <c r="F18" s="7">
        <f t="shared" si="0"/>
        <v>11.479375000000001</v>
      </c>
      <c r="G18" s="67">
        <f>ESSMarketPrice-SUM(H10:H17,H19:H21)</f>
        <v>46.629999999999967</v>
      </c>
      <c r="H18" s="12">
        <f t="shared" si="1"/>
        <v>46.629999999999967</v>
      </c>
      <c r="I18" s="37" t="s">
        <v>83</v>
      </c>
      <c r="J18" s="2" t="s">
        <v>132</v>
      </c>
    </row>
    <row r="19" spans="1:10" ht="18" customHeight="1">
      <c r="A19" s="13" t="s">
        <v>109</v>
      </c>
      <c r="B19" s="6"/>
      <c r="C19" s="28" t="s">
        <v>110</v>
      </c>
      <c r="D19" s="4">
        <v>1</v>
      </c>
      <c r="E19" s="30">
        <f>ESSWeight</f>
        <v>9.4</v>
      </c>
      <c r="F19" s="7">
        <f t="shared" si="0"/>
        <v>9.4</v>
      </c>
      <c r="G19" s="5"/>
      <c r="H19" s="12">
        <f t="shared" si="1"/>
        <v>9.4</v>
      </c>
      <c r="I19" s="37" t="s">
        <v>83</v>
      </c>
      <c r="J19" s="2"/>
    </row>
    <row r="20" spans="1:10" ht="18" customHeight="1">
      <c r="A20" s="13" t="s">
        <v>133</v>
      </c>
      <c r="B20" s="6"/>
      <c r="C20" s="24" t="s">
        <v>73</v>
      </c>
      <c r="D20" s="4"/>
      <c r="E20" s="30">
        <v>1</v>
      </c>
      <c r="F20" s="7">
        <f t="shared" si="0"/>
        <v>0</v>
      </c>
      <c r="G20" s="67">
        <f>D20-0.5*Battery45X</f>
        <v>-5</v>
      </c>
      <c r="H20" s="12">
        <f t="shared" si="1"/>
        <v>-5</v>
      </c>
      <c r="I20" s="37" t="s">
        <v>83</v>
      </c>
      <c r="J20" s="2" t="s">
        <v>134</v>
      </c>
    </row>
    <row r="21" spans="1:10" ht="18" customHeight="1">
      <c r="A21" s="13"/>
      <c r="B21" s="6"/>
      <c r="C21" s="28"/>
      <c r="D21" s="4"/>
      <c r="E21" s="30"/>
      <c r="F21" s="7">
        <f t="shared" si="0"/>
        <v>0</v>
      </c>
      <c r="G21" s="5"/>
      <c r="H21" s="12">
        <f t="shared" si="1"/>
        <v>0</v>
      </c>
      <c r="I21" s="37"/>
      <c r="J21" s="2"/>
    </row>
    <row r="22" spans="1:10">
      <c r="A22"/>
      <c r="B22"/>
      <c r="C22"/>
      <c r="D22"/>
      <c r="E22" s="15" t="s">
        <v>62</v>
      </c>
      <c r="F22" s="8">
        <f>SUM(F10:F21)</f>
        <v>176.54937500000003</v>
      </c>
      <c r="G22" s="15" t="s">
        <v>61</v>
      </c>
      <c r="H22" s="8">
        <f>SUM(H10:H21)</f>
        <v>228</v>
      </c>
      <c r="I22"/>
      <c r="J22"/>
    </row>
    <row r="23" spans="1:10">
      <c r="F23" s="11"/>
    </row>
    <row r="25" spans="1:10">
      <c r="A25"/>
      <c r="B25"/>
      <c r="C25"/>
      <c r="D25"/>
      <c r="E25"/>
      <c r="F25"/>
      <c r="G25"/>
    </row>
    <row r="26" spans="1:10">
      <c r="A26"/>
      <c r="B26"/>
      <c r="C26"/>
      <c r="D26"/>
      <c r="E26"/>
      <c r="F26"/>
      <c r="G26"/>
    </row>
    <row r="27" spans="1:10">
      <c r="A27"/>
      <c r="B27"/>
      <c r="C27"/>
      <c r="D27"/>
      <c r="E27"/>
      <c r="F27"/>
      <c r="G27"/>
    </row>
    <row r="28" spans="1:10">
      <c r="A28"/>
      <c r="B28"/>
      <c r="C28"/>
      <c r="D28"/>
      <c r="E28"/>
      <c r="F28"/>
      <c r="G28"/>
    </row>
  </sheetData>
  <sheetProtection algorithmName="SHA-512" hashValue="2oCVflOD7kBfXjo0y9sLWB5ey75oTlH93eBaDbgxkc55YjaHg034IhAGDgyh6kK0OwDIc4LJJpJo25GjboauSg==" saltValue="PeE1iAYMqAdhzzJb4SuCpw==" spinCount="100000" sheet="1" scenarios="1"/>
  <mergeCells count="2">
    <mergeCell ref="A2:B2"/>
    <mergeCell ref="A5:F7"/>
  </mergeCells>
  <conditionalFormatting sqref="B10:B21 D10:D21 G10:G21">
    <cfRule type="expression" dxfId="33" priority="4">
      <formula>_xlfn.ISFORMULA(B10)</formula>
    </cfRule>
  </conditionalFormatting>
  <conditionalFormatting sqref="A3:B3">
    <cfRule type="expression" dxfId="32" priority="1">
      <formula>_xlfn.ISFORMULA(A3)</formula>
    </cfRule>
  </conditionalFormatting>
  <dataValidations count="1">
    <dataValidation type="decimal" operator="greaterThan" allowBlank="1" showInputMessage="1" showErrorMessage="1" sqref="A3" xr:uid="{C66BC7BF-CCCB-45D3-B84B-F857EFAEC445}">
      <formula1>0</formula1>
    </dataValidation>
  </dataValidations>
  <pageMargins left="0.7" right="0.7" top="0.75" bottom="0.75" header="0.3" footer="0.3"/>
  <pageSetup scale="65" orientation="landscape"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27649" r:id="rId4" name="Button 1">
              <controlPr defaultSize="0" print="0" autoFill="0" autoPict="0" macro="[0]!LoadSheet">
                <anchor moveWithCells="1" sizeWithCells="1">
                  <from>
                    <xdr:col>3</xdr:col>
                    <xdr:colOff>69850</xdr:colOff>
                    <xdr:row>2</xdr:row>
                    <xdr:rowOff>25400</xdr:rowOff>
                  </from>
                  <to>
                    <xdr:col>3</xdr:col>
                    <xdr:colOff>831850</xdr:colOff>
                    <xdr:row>2</xdr:row>
                    <xdr:rowOff>222250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C1E96B-21ED-490E-B560-B941F663235B}">
  <sheetPr codeName="Sheet15">
    <pageSetUpPr fitToPage="1"/>
  </sheetPr>
  <dimension ref="A1:O23"/>
  <sheetViews>
    <sheetView topLeftCell="A8" workbookViewId="0">
      <selection activeCell="F8" sqref="F8"/>
    </sheetView>
  </sheetViews>
  <sheetFormatPr defaultColWidth="8.90625" defaultRowHeight="14.5"/>
  <cols>
    <col min="1" max="1" width="15.6328125" style="1" customWidth="1"/>
    <col min="2" max="2" width="12.36328125" style="1" customWidth="1"/>
    <col min="3" max="3" width="11.6328125" style="1" customWidth="1"/>
    <col min="4" max="4" width="12.6328125" style="1" customWidth="1"/>
    <col min="5" max="5" width="12.81640625" style="1" customWidth="1"/>
    <col min="6" max="6" width="13.6328125" style="1" customWidth="1"/>
    <col min="7" max="7" width="15.6328125" style="1" customWidth="1"/>
    <col min="8" max="8" width="13.54296875" style="1" customWidth="1"/>
    <col min="9" max="9" width="4.6328125" style="1" customWidth="1"/>
    <col min="10" max="10" width="79.36328125" style="1" customWidth="1"/>
    <col min="11" max="16384" width="8.90625" style="1"/>
  </cols>
  <sheetData>
    <row r="1" spans="1:15" ht="18" customHeight="1">
      <c r="A1" s="14" t="s">
        <v>17</v>
      </c>
      <c r="B1"/>
      <c r="C1"/>
      <c r="D1" s="25"/>
      <c r="E1"/>
      <c r="F1"/>
      <c r="G1"/>
      <c r="H1"/>
      <c r="I1"/>
      <c r="J1"/>
    </row>
    <row r="2" spans="1:15" ht="18" customHeight="1">
      <c r="A2" s="71" t="str">
        <f>System!A2</f>
        <v>System Size</v>
      </c>
      <c r="B2" s="71"/>
      <c r="C2"/>
      <c r="D2" s="26"/>
      <c r="E2" s="27"/>
      <c r="F2"/>
      <c r="G2"/>
      <c r="H2" s="16"/>
      <c r="I2" t="s">
        <v>9</v>
      </c>
      <c r="J2"/>
    </row>
    <row r="3" spans="1:15" ht="18" customHeight="1">
      <c r="A3" s="63">
        <f>SystemSize/ModuleEfficiency</f>
        <v>208.39999999999998</v>
      </c>
      <c r="B3" s="13" t="s">
        <v>91</v>
      </c>
      <c r="C3"/>
      <c r="D3"/>
      <c r="E3"/>
      <c r="F3"/>
      <c r="G3"/>
      <c r="H3" s="17"/>
      <c r="I3" t="s">
        <v>10</v>
      </c>
      <c r="J3"/>
    </row>
    <row r="4" spans="1:15" ht="18" customHeight="1">
      <c r="A4"/>
      <c r="B4"/>
      <c r="C4"/>
      <c r="D4"/>
      <c r="E4"/>
      <c r="F4"/>
      <c r="G4"/>
      <c r="H4" s="18"/>
      <c r="I4" t="s">
        <v>43</v>
      </c>
      <c r="J4"/>
    </row>
    <row r="5" spans="1:15" ht="18" customHeight="1">
      <c r="A5" s="70" t="s">
        <v>287</v>
      </c>
      <c r="B5" s="72"/>
      <c r="C5" s="72"/>
      <c r="D5" s="72"/>
      <c r="E5" s="72"/>
      <c r="F5" s="72"/>
      <c r="G5"/>
      <c r="H5" s="19"/>
      <c r="I5" t="s">
        <v>8</v>
      </c>
      <c r="J5"/>
    </row>
    <row r="6" spans="1:15" ht="18" customHeight="1">
      <c r="A6" s="72"/>
      <c r="B6" s="72"/>
      <c r="C6" s="72"/>
      <c r="D6" s="72"/>
      <c r="E6" s="72"/>
      <c r="F6" s="72"/>
      <c r="G6"/>
      <c r="H6"/>
      <c r="I6"/>
      <c r="J6"/>
    </row>
    <row r="7" spans="1:15" ht="18" customHeight="1">
      <c r="A7" s="72"/>
      <c r="B7" s="72"/>
      <c r="C7" s="72"/>
      <c r="D7" s="72"/>
      <c r="E7" s="72"/>
      <c r="F7" s="72"/>
      <c r="G7"/>
      <c r="H7"/>
      <c r="I7"/>
      <c r="J7"/>
    </row>
    <row r="8" spans="1:15" ht="18" customHeight="1">
      <c r="A8" s="20"/>
      <c r="B8"/>
      <c r="C8"/>
      <c r="D8"/>
      <c r="E8"/>
      <c r="F8"/>
      <c r="G8"/>
      <c r="H8"/>
      <c r="I8"/>
      <c r="J8"/>
    </row>
    <row r="9" spans="1:15" s="3" customFormat="1" ht="29.75" customHeight="1">
      <c r="A9" s="21" t="s">
        <v>0</v>
      </c>
      <c r="B9" s="64" t="s">
        <v>25</v>
      </c>
      <c r="C9" s="22" t="s">
        <v>4</v>
      </c>
      <c r="D9" s="64" t="s">
        <v>3</v>
      </c>
      <c r="E9" s="22" t="str">
        <f>CONCATENATE("Intrinsic Units per ",B3)</f>
        <v>Intrinsic Units per m2</v>
      </c>
      <c r="F9" s="22" t="str">
        <f>CONCATENATE("Cost Element per ",$B$3)</f>
        <v>Cost Element per m2</v>
      </c>
      <c r="G9" s="64" t="s">
        <v>19</v>
      </c>
      <c r="H9" s="22" t="str">
        <f>CONCATENATE("Price Element per ",$B$3)</f>
        <v>Price Element per m2</v>
      </c>
      <c r="I9" t="s">
        <v>65</v>
      </c>
      <c r="J9" t="s">
        <v>15</v>
      </c>
      <c r="K9" s="1"/>
      <c r="L9" s="1"/>
      <c r="M9" s="1"/>
      <c r="N9" s="1"/>
      <c r="O9" s="1"/>
    </row>
    <row r="10" spans="1:15" ht="18" customHeight="1">
      <c r="A10" s="13" t="s">
        <v>288</v>
      </c>
      <c r="B10" s="6"/>
      <c r="C10" s="28" t="s">
        <v>110</v>
      </c>
      <c r="D10" s="4">
        <v>2.5</v>
      </c>
      <c r="E10" s="30">
        <f>TorqueTubeWeight</f>
        <v>5.9</v>
      </c>
      <c r="F10" s="7">
        <f t="shared" ref="F10:F21" si="0">($B10/$A$3+$E10*$D10)*includerow($I10,IncludeESS,IncludeIndirect)</f>
        <v>14.75</v>
      </c>
      <c r="G10" s="5"/>
      <c r="H10" s="12">
        <f t="shared" ref="H10:H21" si="1">IF($G10&lt;&gt;0,$G10*$E10*includerow($I10,IncludeESS,IncludeIndirect),($B10/$A$3+$D10*$E10)*includerow($I10,IncludeESS,IncludeIndirect))</f>
        <v>14.75</v>
      </c>
      <c r="I10" s="61"/>
      <c r="J10" s="2" t="s">
        <v>289</v>
      </c>
    </row>
    <row r="11" spans="1:15" ht="18" customHeight="1">
      <c r="A11" s="13" t="s">
        <v>135</v>
      </c>
      <c r="B11" s="6"/>
      <c r="C11" s="28" t="s">
        <v>136</v>
      </c>
      <c r="D11" s="4">
        <v>200</v>
      </c>
      <c r="E11" s="30">
        <f>PiersPerRow/(RowLength*ModuleHeight)</f>
        <v>3.5239795596371075E-2</v>
      </c>
      <c r="F11" s="7">
        <f t="shared" si="0"/>
        <v>7.047959119274215</v>
      </c>
      <c r="G11" s="5"/>
      <c r="H11" s="12">
        <f t="shared" si="1"/>
        <v>7.047959119274215</v>
      </c>
      <c r="I11" s="61"/>
      <c r="J11" s="2" t="s">
        <v>137</v>
      </c>
    </row>
    <row r="12" spans="1:15" ht="18" customHeight="1">
      <c r="A12" s="13" t="s">
        <v>138</v>
      </c>
      <c r="B12" s="6"/>
      <c r="C12" s="28" t="s">
        <v>89</v>
      </c>
      <c r="D12" s="4">
        <v>2.1</v>
      </c>
      <c r="E12" s="30">
        <f>1/ModuleWidth</f>
        <v>0.65445026178010468</v>
      </c>
      <c r="F12" s="7">
        <f t="shared" si="0"/>
        <v>1.37434554973822</v>
      </c>
      <c r="G12" s="67">
        <f>D12*(1+Tariff301)</f>
        <v>2.625</v>
      </c>
      <c r="H12" s="12">
        <f t="shared" si="1"/>
        <v>1.7179319371727748</v>
      </c>
      <c r="I12" s="61"/>
      <c r="J12" s="2" t="s">
        <v>139</v>
      </c>
    </row>
    <row r="13" spans="1:15" ht="18" customHeight="1">
      <c r="A13" s="13" t="s">
        <v>140</v>
      </c>
      <c r="B13" s="6"/>
      <c r="C13" s="28" t="s">
        <v>110</v>
      </c>
      <c r="D13" s="4">
        <v>2.2000000000000002</v>
      </c>
      <c r="E13" s="30">
        <f>FastenerWeight</f>
        <v>0.2</v>
      </c>
      <c r="F13" s="7">
        <f t="shared" si="0"/>
        <v>0.44000000000000006</v>
      </c>
      <c r="G13" s="67">
        <f>D13*(1+Tariff301)</f>
        <v>2.75</v>
      </c>
      <c r="H13" s="12">
        <f t="shared" si="1"/>
        <v>0.55000000000000004</v>
      </c>
      <c r="I13" s="61"/>
      <c r="J13" s="2" t="s">
        <v>290</v>
      </c>
    </row>
    <row r="14" spans="1:15" ht="18" customHeight="1">
      <c r="A14" s="13" t="s">
        <v>109</v>
      </c>
      <c r="B14" s="6"/>
      <c r="C14" s="28" t="s">
        <v>110</v>
      </c>
      <c r="D14" s="4">
        <v>0.6</v>
      </c>
      <c r="E14" s="30">
        <f>IncludeIndirect*SBOSshippingWeight</f>
        <v>10</v>
      </c>
      <c r="F14" s="7">
        <f t="shared" si="0"/>
        <v>6</v>
      </c>
      <c r="G14" s="5"/>
      <c r="H14" s="12">
        <f t="shared" si="1"/>
        <v>6</v>
      </c>
      <c r="I14" s="61" t="s">
        <v>83</v>
      </c>
      <c r="J14" s="2"/>
    </row>
    <row r="15" spans="1:15" ht="18" customHeight="1">
      <c r="A15" s="13" t="s">
        <v>142</v>
      </c>
      <c r="B15" s="6"/>
      <c r="C15" s="28" t="s">
        <v>73</v>
      </c>
      <c r="D15" s="4">
        <v>6</v>
      </c>
      <c r="E15" s="30">
        <f>IncludeIndirect*IncludeESS*StorageDuration*ModuleEfficiency</f>
        <v>0</v>
      </c>
      <c r="F15" s="7">
        <f t="shared" si="0"/>
        <v>0</v>
      </c>
      <c r="G15" s="5"/>
      <c r="H15" s="12">
        <f t="shared" si="1"/>
        <v>0</v>
      </c>
      <c r="I15" s="61" t="s">
        <v>143</v>
      </c>
      <c r="J15" s="2"/>
    </row>
    <row r="16" spans="1:15" ht="18" customHeight="1">
      <c r="A16" s="13"/>
      <c r="B16" s="6"/>
      <c r="C16" s="28"/>
      <c r="D16" s="4"/>
      <c r="E16" s="30"/>
      <c r="F16" s="7">
        <f t="shared" si="0"/>
        <v>0</v>
      </c>
      <c r="G16" s="5"/>
      <c r="H16" s="12">
        <f t="shared" si="1"/>
        <v>0</v>
      </c>
      <c r="I16" s="61"/>
      <c r="J16" s="2"/>
    </row>
    <row r="17" spans="1:10" ht="18" customHeight="1">
      <c r="A17" s="13"/>
      <c r="B17" s="6"/>
      <c r="C17" s="28"/>
      <c r="D17" s="4"/>
      <c r="E17" s="30"/>
      <c r="F17" s="7">
        <f t="shared" si="0"/>
        <v>0</v>
      </c>
      <c r="G17" s="5"/>
      <c r="H17" s="12">
        <f t="shared" si="1"/>
        <v>0</v>
      </c>
      <c r="I17" s="61"/>
      <c r="J17" s="2"/>
    </row>
    <row r="18" spans="1:10" ht="18" customHeight="1">
      <c r="A18" s="13"/>
      <c r="B18" s="6"/>
      <c r="C18" s="29"/>
      <c r="D18" s="4"/>
      <c r="E18" s="30"/>
      <c r="F18" s="7">
        <f t="shared" si="0"/>
        <v>0</v>
      </c>
      <c r="G18" s="5"/>
      <c r="H18" s="12">
        <f t="shared" si="1"/>
        <v>0</v>
      </c>
      <c r="I18" s="61"/>
      <c r="J18" s="2"/>
    </row>
    <row r="19" spans="1:10" ht="18" customHeight="1">
      <c r="A19" s="13"/>
      <c r="B19" s="6"/>
      <c r="C19" s="29"/>
      <c r="D19" s="4"/>
      <c r="E19" s="30"/>
      <c r="F19" s="7">
        <f t="shared" si="0"/>
        <v>0</v>
      </c>
      <c r="G19" s="5"/>
      <c r="H19" s="12">
        <f t="shared" si="1"/>
        <v>0</v>
      </c>
      <c r="I19" s="61"/>
      <c r="J19" s="2"/>
    </row>
    <row r="20" spans="1:10" ht="18" customHeight="1">
      <c r="A20" s="13"/>
      <c r="B20" s="6"/>
      <c r="C20" s="24"/>
      <c r="D20" s="4"/>
      <c r="E20" s="30"/>
      <c r="F20" s="7">
        <f t="shared" si="0"/>
        <v>0</v>
      </c>
      <c r="G20" s="5"/>
      <c r="H20" s="12">
        <f t="shared" si="1"/>
        <v>0</v>
      </c>
      <c r="I20" s="61"/>
      <c r="J20" s="2"/>
    </row>
    <row r="21" spans="1:10" ht="18" customHeight="1">
      <c r="A21" s="13"/>
      <c r="B21" s="6"/>
      <c r="C21" s="24"/>
      <c r="D21" s="4"/>
      <c r="E21" s="30"/>
      <c r="F21" s="7">
        <f t="shared" si="0"/>
        <v>0</v>
      </c>
      <c r="G21" s="5"/>
      <c r="H21" s="12">
        <f t="shared" si="1"/>
        <v>0</v>
      </c>
      <c r="I21" s="61"/>
      <c r="J21" s="2"/>
    </row>
    <row r="22" spans="1:10">
      <c r="A22"/>
      <c r="B22"/>
      <c r="C22"/>
      <c r="D22"/>
      <c r="E22" s="15" t="s">
        <v>62</v>
      </c>
      <c r="F22" s="8">
        <f>SUM(F10:F21)</f>
        <v>29.612304669012435</v>
      </c>
      <c r="G22" s="15" t="s">
        <v>61</v>
      </c>
      <c r="H22" s="8">
        <f>SUM(H10:H21)</f>
        <v>30.06589105644699</v>
      </c>
      <c r="I22"/>
      <c r="J22"/>
    </row>
    <row r="23" spans="1:10">
      <c r="F23" s="11"/>
    </row>
  </sheetData>
  <sheetProtection algorithmName="SHA-512" hashValue="J3cI4VyDNmfFAHqrkro4lGORf/ZmcENpngDwZH5tN33VtjY262ezUdzqzKS2Z7NYDGrU2YB9WcODOt58BkGEaw==" saltValue="I1PrhaggwtDmOGX9AJUe+Q==" spinCount="100000" sheet="1" scenarios="1"/>
  <mergeCells count="2">
    <mergeCell ref="A2:B2"/>
    <mergeCell ref="A5:F7"/>
  </mergeCells>
  <conditionalFormatting sqref="D10:D21 B10:B21 G10:G21">
    <cfRule type="expression" dxfId="31" priority="3">
      <formula>_xlfn.ISFORMULA(B10)</formula>
    </cfRule>
  </conditionalFormatting>
  <conditionalFormatting sqref="D18:D20">
    <cfRule type="expression" dxfId="30" priority="2">
      <formula>_xlfn.ISFORMULA(D18)</formula>
    </cfRule>
  </conditionalFormatting>
  <conditionalFormatting sqref="A3:B3">
    <cfRule type="expression" dxfId="29" priority="1">
      <formula>_xlfn.ISFORMULA(A3)</formula>
    </cfRule>
  </conditionalFormatting>
  <dataValidations count="1">
    <dataValidation type="decimal" operator="greaterThan" allowBlank="1" showInputMessage="1" showErrorMessage="1" sqref="A3" xr:uid="{09325755-8CC8-4D5F-9B57-47A66178F7D3}">
      <formula1>0</formula1>
    </dataValidation>
  </dataValidations>
  <pageMargins left="0.7" right="0.7" top="0.75" bottom="0.75" header="0.3" footer="0.3"/>
  <pageSetup scale="72" orientation="landscape"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29697" r:id="rId4" name="Button 1">
              <controlPr defaultSize="0" print="0" autoFill="0" autoPict="0" macro="[0]!LoadSheet">
                <anchor moveWithCells="1" sizeWithCells="1">
                  <from>
                    <xdr:col>3</xdr:col>
                    <xdr:colOff>69850</xdr:colOff>
                    <xdr:row>2</xdr:row>
                    <xdr:rowOff>25400</xdr:rowOff>
                  </from>
                  <to>
                    <xdr:col>3</xdr:col>
                    <xdr:colOff>831850</xdr:colOff>
                    <xdr:row>2</xdr:row>
                    <xdr:rowOff>222250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102B96-2215-45B1-92BF-BA88591B0DB7}">
  <sheetPr codeName="Sheet14">
    <pageSetUpPr fitToPage="1"/>
  </sheetPr>
  <dimension ref="A1:O27"/>
  <sheetViews>
    <sheetView workbookViewId="0">
      <selection activeCell="A3" sqref="A3"/>
    </sheetView>
  </sheetViews>
  <sheetFormatPr defaultColWidth="8.90625" defaultRowHeight="14.5"/>
  <cols>
    <col min="1" max="1" width="15.6328125" style="1" customWidth="1"/>
    <col min="2" max="2" width="12.36328125" style="1" customWidth="1"/>
    <col min="3" max="3" width="11.6328125" style="1" customWidth="1"/>
    <col min="4" max="4" width="12.6328125" style="1" customWidth="1"/>
    <col min="5" max="5" width="12.81640625" style="1" customWidth="1"/>
    <col min="6" max="6" width="13.6328125" style="1" customWidth="1"/>
    <col min="7" max="7" width="15.6328125" style="1" customWidth="1"/>
    <col min="8" max="8" width="13.54296875" style="1" customWidth="1"/>
    <col min="9" max="9" width="4.6328125" style="1" customWidth="1"/>
    <col min="10" max="10" width="78.81640625" style="1" customWidth="1"/>
    <col min="11" max="16384" width="8.90625" style="1"/>
  </cols>
  <sheetData>
    <row r="1" spans="1:15" ht="18" customHeight="1">
      <c r="A1" s="14" t="s">
        <v>20</v>
      </c>
      <c r="B1"/>
      <c r="C1"/>
      <c r="D1" s="25"/>
      <c r="E1"/>
      <c r="F1"/>
      <c r="G1"/>
      <c r="H1"/>
      <c r="I1"/>
      <c r="J1"/>
    </row>
    <row r="2" spans="1:15" ht="18" customHeight="1">
      <c r="A2" s="71" t="str">
        <f>System!A2</f>
        <v>System Size</v>
      </c>
      <c r="B2" s="71"/>
      <c r="C2"/>
      <c r="D2" s="26"/>
      <c r="E2" s="27"/>
      <c r="F2"/>
      <c r="G2"/>
      <c r="H2" s="16"/>
      <c r="I2" t="s">
        <v>9</v>
      </c>
      <c r="J2"/>
    </row>
    <row r="3" spans="1:15" ht="18" customHeight="1">
      <c r="A3" s="62">
        <f>SystemSize/ILR</f>
        <v>30.423357664233574</v>
      </c>
      <c r="B3" s="13" t="s">
        <v>74</v>
      </c>
      <c r="C3"/>
      <c r="D3"/>
      <c r="E3"/>
      <c r="F3"/>
      <c r="G3"/>
      <c r="H3" s="17"/>
      <c r="I3" t="s">
        <v>10</v>
      </c>
      <c r="J3"/>
    </row>
    <row r="4" spans="1:15" ht="18" customHeight="1">
      <c r="A4"/>
      <c r="B4"/>
      <c r="C4"/>
      <c r="D4"/>
      <c r="E4"/>
      <c r="F4"/>
      <c r="G4"/>
      <c r="H4" s="18"/>
      <c r="I4" t="s">
        <v>43</v>
      </c>
      <c r="J4"/>
    </row>
    <row r="5" spans="1:15" ht="18" customHeight="1">
      <c r="A5" s="70" t="s">
        <v>291</v>
      </c>
      <c r="B5" s="72"/>
      <c r="C5" s="72"/>
      <c r="D5" s="72"/>
      <c r="E5" s="72"/>
      <c r="F5" s="72"/>
      <c r="G5"/>
      <c r="H5" s="19"/>
      <c r="I5" t="s">
        <v>8</v>
      </c>
      <c r="J5"/>
    </row>
    <row r="6" spans="1:15" ht="18" customHeight="1">
      <c r="A6" s="72"/>
      <c r="B6" s="72"/>
      <c r="C6" s="72"/>
      <c r="D6" s="72"/>
      <c r="E6" s="72"/>
      <c r="F6" s="72"/>
      <c r="G6"/>
      <c r="H6"/>
      <c r="I6"/>
      <c r="J6"/>
    </row>
    <row r="7" spans="1:15" ht="18" customHeight="1">
      <c r="A7" s="72"/>
      <c r="B7" s="72"/>
      <c r="C7" s="72"/>
      <c r="D7" s="72"/>
      <c r="E7" s="72"/>
      <c r="F7" s="72"/>
      <c r="G7"/>
      <c r="H7"/>
      <c r="I7"/>
      <c r="J7"/>
    </row>
    <row r="8" spans="1:15" ht="18" customHeight="1">
      <c r="A8" s="20"/>
      <c r="B8"/>
      <c r="C8"/>
      <c r="D8"/>
      <c r="E8"/>
      <c r="F8"/>
      <c r="G8"/>
      <c r="H8"/>
      <c r="I8"/>
      <c r="J8"/>
    </row>
    <row r="9" spans="1:15" s="3" customFormat="1" ht="29.75" customHeight="1">
      <c r="A9" s="21" t="s">
        <v>0</v>
      </c>
      <c r="B9" s="64" t="s">
        <v>25</v>
      </c>
      <c r="C9" s="22" t="s">
        <v>4</v>
      </c>
      <c r="D9" s="64" t="s">
        <v>3</v>
      </c>
      <c r="E9" s="22" t="str">
        <f>CONCATENATE("Intrinsic Units per ",B3)</f>
        <v>Intrinsic Units per kWac</v>
      </c>
      <c r="F9" s="22" t="str">
        <f>CONCATENATE("Cost Element per ",$B$3)</f>
        <v>Cost Element per kWac</v>
      </c>
      <c r="G9" s="64" t="s">
        <v>19</v>
      </c>
      <c r="H9" s="22" t="str">
        <f>CONCATENATE("Price Element per ",$B$3)</f>
        <v>Price Element per kWac</v>
      </c>
      <c r="I9" t="s">
        <v>65</v>
      </c>
      <c r="J9" t="s">
        <v>15</v>
      </c>
      <c r="K9" s="1"/>
      <c r="L9" s="1"/>
      <c r="M9" s="1"/>
      <c r="N9" s="1"/>
      <c r="O9" s="1"/>
    </row>
    <row r="10" spans="1:15" ht="18" customHeight="1">
      <c r="A10" s="13" t="s">
        <v>144</v>
      </c>
      <c r="B10" s="6"/>
      <c r="C10" s="28" t="s">
        <v>74</v>
      </c>
      <c r="D10" s="4">
        <v>90</v>
      </c>
      <c r="E10" s="30">
        <v>1</v>
      </c>
      <c r="F10" s="7">
        <f t="shared" ref="F10:F21" si="0">($B10/$A$3+$E10*$D10)*includerow($I10,IncludeESS,IncludeIndirect)</f>
        <v>90</v>
      </c>
      <c r="G10" s="5"/>
      <c r="H10" s="12">
        <f t="shared" ref="H10:H21" si="1">IF($G10&lt;&gt;0,$G10*$E10*includerow($I10,IncludeESS,IncludeIndirect),($B10/$A$3+$D10*$E10)*includerow($I10,IncludeESS,IncludeIndirect))</f>
        <v>90</v>
      </c>
      <c r="I10" s="37"/>
      <c r="J10" s="2" t="s">
        <v>292</v>
      </c>
    </row>
    <row r="11" spans="1:15" ht="18" customHeight="1">
      <c r="A11" s="13" t="s">
        <v>293</v>
      </c>
      <c r="B11" s="6"/>
      <c r="C11" s="28" t="s">
        <v>74</v>
      </c>
      <c r="D11" s="4">
        <v>30</v>
      </c>
      <c r="E11" s="30">
        <v>1</v>
      </c>
      <c r="F11" s="7">
        <f t="shared" si="0"/>
        <v>30</v>
      </c>
      <c r="G11" s="67">
        <f>D11*(1+Tariff301)</f>
        <v>37.5</v>
      </c>
      <c r="H11" s="12">
        <f t="shared" si="1"/>
        <v>37.5</v>
      </c>
      <c r="I11" s="37"/>
      <c r="J11" s="2" t="s">
        <v>294</v>
      </c>
    </row>
    <row r="12" spans="1:15" ht="18" customHeight="1">
      <c r="A12" s="13" t="s">
        <v>145</v>
      </c>
      <c r="B12" s="6"/>
      <c r="C12" s="28" t="s">
        <v>74</v>
      </c>
      <c r="D12" s="4">
        <v>60</v>
      </c>
      <c r="E12" s="30">
        <v>1</v>
      </c>
      <c r="F12" s="7">
        <f t="shared" si="0"/>
        <v>60</v>
      </c>
      <c r="G12" s="5"/>
      <c r="H12" s="12">
        <f t="shared" si="1"/>
        <v>60</v>
      </c>
      <c r="I12" s="37"/>
      <c r="J12" s="2" t="s">
        <v>295</v>
      </c>
    </row>
    <row r="13" spans="1:15" ht="18" customHeight="1">
      <c r="A13" s="13" t="s">
        <v>147</v>
      </c>
      <c r="B13" s="6"/>
      <c r="C13" s="28" t="s">
        <v>74</v>
      </c>
      <c r="D13" s="4">
        <v>25</v>
      </c>
      <c r="E13" s="30">
        <v>1</v>
      </c>
      <c r="F13" s="7">
        <f t="shared" si="0"/>
        <v>25</v>
      </c>
      <c r="G13" s="5"/>
      <c r="H13" s="12">
        <f t="shared" si="1"/>
        <v>25</v>
      </c>
      <c r="I13" s="37"/>
      <c r="J13" s="2" t="s">
        <v>296</v>
      </c>
    </row>
    <row r="14" spans="1:15" ht="18" customHeight="1">
      <c r="A14" s="13" t="s">
        <v>146</v>
      </c>
      <c r="B14" s="6"/>
      <c r="C14" s="28" t="s">
        <v>74</v>
      </c>
      <c r="D14" s="4">
        <v>30</v>
      </c>
      <c r="E14" s="30">
        <v>1</v>
      </c>
      <c r="F14" s="7">
        <f t="shared" si="0"/>
        <v>30</v>
      </c>
      <c r="G14" s="67">
        <f>D14*(1+Tariff301)</f>
        <v>37.5</v>
      </c>
      <c r="H14" s="12">
        <f t="shared" si="1"/>
        <v>37.5</v>
      </c>
      <c r="I14" s="37"/>
      <c r="J14" s="2" t="s">
        <v>297</v>
      </c>
    </row>
    <row r="15" spans="1:15" ht="18" customHeight="1">
      <c r="A15" s="13" t="s">
        <v>298</v>
      </c>
      <c r="B15" s="6"/>
      <c r="C15" s="28" t="s">
        <v>74</v>
      </c>
      <c r="D15" s="4">
        <v>15</v>
      </c>
      <c r="E15" s="30">
        <f>IncludeIndirect*1</f>
        <v>1</v>
      </c>
      <c r="F15" s="7">
        <f t="shared" si="0"/>
        <v>15</v>
      </c>
      <c r="G15" s="5"/>
      <c r="H15" s="12">
        <f t="shared" si="1"/>
        <v>15</v>
      </c>
      <c r="I15" s="37" t="s">
        <v>83</v>
      </c>
      <c r="J15" s="2"/>
    </row>
    <row r="16" spans="1:15" ht="18" customHeight="1">
      <c r="A16" s="13" t="s">
        <v>109</v>
      </c>
      <c r="B16" s="6"/>
      <c r="C16" s="28" t="s">
        <v>110</v>
      </c>
      <c r="D16" s="4">
        <v>0.5</v>
      </c>
      <c r="E16" s="30">
        <f>IncludeIndirect*EBOSweight</f>
        <v>2</v>
      </c>
      <c r="F16" s="7">
        <f t="shared" si="0"/>
        <v>1</v>
      </c>
      <c r="G16" s="5"/>
      <c r="H16" s="12">
        <f t="shared" si="1"/>
        <v>1</v>
      </c>
      <c r="I16" s="37" t="s">
        <v>83</v>
      </c>
      <c r="J16" s="2"/>
    </row>
    <row r="17" spans="1:10" ht="18" customHeight="1">
      <c r="A17" s="13"/>
      <c r="B17" s="6"/>
      <c r="C17" s="28"/>
      <c r="D17" s="4"/>
      <c r="E17" s="30"/>
      <c r="F17" s="7">
        <f t="shared" si="0"/>
        <v>0</v>
      </c>
      <c r="G17" s="5"/>
      <c r="H17" s="12">
        <f t="shared" si="1"/>
        <v>0</v>
      </c>
      <c r="I17" s="37"/>
      <c r="J17" s="2"/>
    </row>
    <row r="18" spans="1:10" ht="18" customHeight="1">
      <c r="A18" s="13"/>
      <c r="B18" s="6"/>
      <c r="C18" s="29"/>
      <c r="D18" s="4"/>
      <c r="E18" s="30"/>
      <c r="F18" s="7">
        <f t="shared" si="0"/>
        <v>0</v>
      </c>
      <c r="G18" s="5"/>
      <c r="H18" s="12">
        <f t="shared" si="1"/>
        <v>0</v>
      </c>
      <c r="I18" s="37"/>
      <c r="J18" s="2"/>
    </row>
    <row r="19" spans="1:10" ht="18" customHeight="1">
      <c r="A19" s="13"/>
      <c r="B19" s="6"/>
      <c r="C19" s="24"/>
      <c r="D19" s="4"/>
      <c r="E19" s="30"/>
      <c r="F19" s="7">
        <f t="shared" si="0"/>
        <v>0</v>
      </c>
      <c r="G19" s="5"/>
      <c r="H19" s="12">
        <f t="shared" si="1"/>
        <v>0</v>
      </c>
      <c r="I19" s="37"/>
      <c r="J19" s="2"/>
    </row>
    <row r="20" spans="1:10" ht="18" customHeight="1">
      <c r="A20" s="13"/>
      <c r="B20" s="6"/>
      <c r="C20" s="24"/>
      <c r="D20" s="4"/>
      <c r="E20" s="30"/>
      <c r="F20" s="7">
        <f t="shared" si="0"/>
        <v>0</v>
      </c>
      <c r="G20" s="5"/>
      <c r="H20" s="12">
        <f t="shared" si="1"/>
        <v>0</v>
      </c>
      <c r="I20" s="37"/>
      <c r="J20" s="2"/>
    </row>
    <row r="21" spans="1:10" ht="18" customHeight="1">
      <c r="A21" s="13"/>
      <c r="B21" s="6"/>
      <c r="C21" s="28"/>
      <c r="D21" s="4"/>
      <c r="E21" s="30"/>
      <c r="F21" s="7">
        <f t="shared" si="0"/>
        <v>0</v>
      </c>
      <c r="G21" s="5"/>
      <c r="H21" s="12">
        <f t="shared" si="1"/>
        <v>0</v>
      </c>
      <c r="I21" s="37"/>
      <c r="J21" s="2"/>
    </row>
    <row r="22" spans="1:10">
      <c r="A22"/>
      <c r="B22"/>
      <c r="C22"/>
      <c r="D22"/>
      <c r="E22" s="15" t="s">
        <v>62</v>
      </c>
      <c r="F22" s="8">
        <f>SUM(F10:F21)</f>
        <v>251</v>
      </c>
      <c r="G22" s="15" t="s">
        <v>61</v>
      </c>
      <c r="H22" s="8">
        <f>SUM(H10:H21)</f>
        <v>266</v>
      </c>
      <c r="I22"/>
      <c r="J22"/>
    </row>
    <row r="23" spans="1:10">
      <c r="F23" s="11"/>
    </row>
    <row r="26" spans="1:10">
      <c r="A26"/>
      <c r="B26"/>
      <c r="C26"/>
      <c r="D26"/>
      <c r="E26"/>
      <c r="F26"/>
      <c r="G26"/>
      <c r="H26"/>
    </row>
    <row r="27" spans="1:10">
      <c r="A27"/>
      <c r="B27"/>
      <c r="C27"/>
      <c r="D27"/>
      <c r="E27"/>
      <c r="F27"/>
      <c r="G27"/>
      <c r="H27"/>
    </row>
  </sheetData>
  <sheetProtection algorithmName="SHA-512" hashValue="JejmTEZct2WtL8okkNyU26eANa1eEJcmrxUX4zfUSi2xW7KfYxjVF0wl2jtgK1flSl2habI/f2FrnOV9W6spJw==" saltValue="gT7yXqL3cARQ5NJZR/HGdQ==" spinCount="100000" sheet="1" scenarios="1"/>
  <mergeCells count="2">
    <mergeCell ref="A2:B2"/>
    <mergeCell ref="A5:F7"/>
  </mergeCells>
  <conditionalFormatting sqref="B10:B16 D10:D16 G18:G21 D18:D21 B18:B21 G10:G16">
    <cfRule type="expression" dxfId="28" priority="6">
      <formula>_xlfn.ISFORMULA(B10)</formula>
    </cfRule>
  </conditionalFormatting>
  <conditionalFormatting sqref="B17 D17">
    <cfRule type="expression" dxfId="27" priority="3">
      <formula>_xlfn.ISFORMULA(B17)</formula>
    </cfRule>
  </conditionalFormatting>
  <conditionalFormatting sqref="G17">
    <cfRule type="expression" dxfId="26" priority="2">
      <formula>_xlfn.ISFORMULA(G17)</formula>
    </cfRule>
  </conditionalFormatting>
  <conditionalFormatting sqref="A3:B3">
    <cfRule type="expression" dxfId="25" priority="1">
      <formula>_xlfn.ISFORMULA(A3)</formula>
    </cfRule>
  </conditionalFormatting>
  <dataValidations count="1">
    <dataValidation type="decimal" operator="greaterThan" allowBlank="1" showInputMessage="1" showErrorMessage="1" sqref="A3" xr:uid="{E1C8ABEC-A261-447D-A572-84A1B9D2F706}">
      <formula1>0</formula1>
    </dataValidation>
  </dataValidations>
  <pageMargins left="0.7" right="0.7" top="0.75" bottom="0.75" header="0.3" footer="0.3"/>
  <pageSetup scale="72" orientation="landscape"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Button 1">
              <controlPr defaultSize="0" print="0" autoFill="0" autoPict="0" macro="[0]!LoadSheet">
                <anchor moveWithCells="1" sizeWithCells="1">
                  <from>
                    <xdr:col>3</xdr:col>
                    <xdr:colOff>69850</xdr:colOff>
                    <xdr:row>2</xdr:row>
                    <xdr:rowOff>25400</xdr:rowOff>
                  </from>
                  <to>
                    <xdr:col>3</xdr:col>
                    <xdr:colOff>831850</xdr:colOff>
                    <xdr:row>2</xdr:row>
                    <xdr:rowOff>222250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F7A63F-F50C-4FBF-BAF2-512AD58B6EE4}">
  <sheetPr codeName="Sheet12">
    <pageSetUpPr fitToPage="1"/>
  </sheetPr>
  <dimension ref="A1:O23"/>
  <sheetViews>
    <sheetView workbookViewId="0">
      <selection activeCell="H6" sqref="H6"/>
    </sheetView>
  </sheetViews>
  <sheetFormatPr defaultColWidth="8.90625" defaultRowHeight="14.5"/>
  <cols>
    <col min="1" max="1" width="15.6328125" style="1" customWidth="1"/>
    <col min="2" max="2" width="12.36328125" style="1" customWidth="1"/>
    <col min="3" max="3" width="11.6328125" style="1" customWidth="1"/>
    <col min="4" max="4" width="12.6328125" style="1" customWidth="1"/>
    <col min="5" max="5" width="12.81640625" style="1" customWidth="1"/>
    <col min="6" max="6" width="13.6328125" style="1" customWidth="1"/>
    <col min="7" max="7" width="15.6328125" style="1" customWidth="1"/>
    <col min="8" max="8" width="13.54296875" style="1" customWidth="1"/>
    <col min="9" max="9" width="4.6328125" style="1" customWidth="1"/>
    <col min="10" max="10" width="79.81640625" style="1" customWidth="1"/>
    <col min="11" max="16384" width="8.90625" style="1"/>
  </cols>
  <sheetData>
    <row r="1" spans="1:15" ht="18" customHeight="1">
      <c r="A1" s="14" t="s">
        <v>40</v>
      </c>
      <c r="B1"/>
      <c r="C1"/>
      <c r="D1" s="25"/>
      <c r="E1"/>
      <c r="F1"/>
      <c r="G1"/>
      <c r="H1"/>
      <c r="I1"/>
      <c r="J1"/>
    </row>
    <row r="2" spans="1:15" ht="18" customHeight="1">
      <c r="A2" s="71" t="str">
        <f>System!A2</f>
        <v>System Size</v>
      </c>
      <c r="B2" s="71"/>
      <c r="C2"/>
      <c r="D2" s="26"/>
      <c r="E2" s="27"/>
      <c r="F2"/>
      <c r="G2"/>
      <c r="H2" s="16"/>
      <c r="I2" t="s">
        <v>9</v>
      </c>
      <c r="J2"/>
    </row>
    <row r="3" spans="1:15" ht="18" customHeight="1">
      <c r="A3" s="62">
        <f>SystemSize/ModuleEfficiency</f>
        <v>208.39999999999998</v>
      </c>
      <c r="B3" s="13" t="s">
        <v>91</v>
      </c>
      <c r="C3"/>
      <c r="D3"/>
      <c r="E3"/>
      <c r="F3"/>
      <c r="G3"/>
      <c r="H3" s="17"/>
      <c r="I3" t="s">
        <v>10</v>
      </c>
      <c r="J3"/>
    </row>
    <row r="4" spans="1:15" ht="18" customHeight="1">
      <c r="A4"/>
      <c r="B4"/>
      <c r="C4"/>
      <c r="D4"/>
      <c r="E4"/>
      <c r="F4"/>
      <c r="G4"/>
      <c r="H4" s="18"/>
      <c r="I4" t="s">
        <v>43</v>
      </c>
      <c r="J4"/>
    </row>
    <row r="5" spans="1:15" ht="18" customHeight="1">
      <c r="A5" s="70" t="s">
        <v>299</v>
      </c>
      <c r="B5" s="72"/>
      <c r="C5" s="72"/>
      <c r="D5" s="72"/>
      <c r="E5" s="72"/>
      <c r="F5" s="72"/>
      <c r="G5"/>
      <c r="H5" s="19"/>
      <c r="I5" t="s">
        <v>8</v>
      </c>
      <c r="J5"/>
    </row>
    <row r="6" spans="1:15" ht="18" customHeight="1">
      <c r="A6" s="72"/>
      <c r="B6" s="72"/>
      <c r="C6" s="72"/>
      <c r="D6" s="72"/>
      <c r="E6" s="72"/>
      <c r="F6" s="72"/>
      <c r="G6"/>
      <c r="H6"/>
      <c r="I6"/>
      <c r="J6"/>
    </row>
    <row r="7" spans="1:15" ht="18" customHeight="1">
      <c r="A7" s="72"/>
      <c r="B7" s="72"/>
      <c r="C7" s="72"/>
      <c r="D7" s="72"/>
      <c r="E7" s="72"/>
      <c r="F7" s="72"/>
      <c r="G7"/>
      <c r="H7"/>
      <c r="I7"/>
      <c r="J7"/>
    </row>
    <row r="8" spans="1:15" ht="18" customHeight="1">
      <c r="A8" s="20"/>
      <c r="B8"/>
      <c r="C8"/>
      <c r="D8"/>
      <c r="E8"/>
      <c r="F8"/>
      <c r="G8"/>
      <c r="H8"/>
      <c r="I8"/>
      <c r="J8"/>
    </row>
    <row r="9" spans="1:15" s="3" customFormat="1" ht="29.75" customHeight="1">
      <c r="A9" s="21" t="s">
        <v>0</v>
      </c>
      <c r="B9" s="64" t="s">
        <v>25</v>
      </c>
      <c r="C9" s="22" t="s">
        <v>4</v>
      </c>
      <c r="D9" s="64" t="s">
        <v>3</v>
      </c>
      <c r="E9" s="22" t="str">
        <f>CONCATENATE("Intrinsic Units per ",B3)</f>
        <v>Intrinsic Units per m2</v>
      </c>
      <c r="F9" s="22" t="str">
        <f>CONCATENATE("Cost Element per ",$B$3)</f>
        <v>Cost Element per m2</v>
      </c>
      <c r="G9" s="64" t="s">
        <v>19</v>
      </c>
      <c r="H9" s="22" t="str">
        <f>CONCATENATE("Price Element per ",$B$3)</f>
        <v>Price Element per m2</v>
      </c>
      <c r="I9" t="s">
        <v>65</v>
      </c>
      <c r="J9" t="s">
        <v>15</v>
      </c>
      <c r="K9" s="1"/>
      <c r="L9" s="1"/>
      <c r="M9" s="1"/>
      <c r="N9" s="1"/>
      <c r="O9" s="1"/>
    </row>
    <row r="10" spans="1:15" ht="18" customHeight="1">
      <c r="A10" s="13" t="s">
        <v>148</v>
      </c>
      <c r="B10" s="6"/>
      <c r="C10" s="28" t="s">
        <v>97</v>
      </c>
      <c r="D10" s="4">
        <v>35</v>
      </c>
      <c r="E10" s="30">
        <f>PVElectricalLabor*(1+LaborBurdenRate)</f>
        <v>0.84700000000000009</v>
      </c>
      <c r="F10" s="7">
        <f t="shared" ref="F10:F21" si="0">($B10/$A$3+$E10*$D10)*includerow($I10,IncludeESS,IncludeIndirect)</f>
        <v>29.645000000000003</v>
      </c>
      <c r="G10" s="5">
        <v>37</v>
      </c>
      <c r="H10" s="12">
        <f t="shared" ref="H10:H21" si="1">IF($G10&lt;&gt;0,$G10*$E10*includerow($I10,IncludeESS,IncludeIndirect),($B10/$A$3+$D10*$E10)*includerow($I10,IncludeESS,IncludeIndirect))</f>
        <v>31.339000000000002</v>
      </c>
      <c r="I10" s="37"/>
      <c r="J10" s="2" t="s">
        <v>149</v>
      </c>
    </row>
    <row r="11" spans="1:15" ht="18" customHeight="1">
      <c r="A11" s="13" t="s">
        <v>150</v>
      </c>
      <c r="B11" s="6"/>
      <c r="C11" s="28" t="s">
        <v>97</v>
      </c>
      <c r="D11" s="4">
        <v>22.3</v>
      </c>
      <c r="E11" s="30">
        <f>PVConstructionLabor*(1+LaborBurdenRate)</f>
        <v>0.84700000000000009</v>
      </c>
      <c r="F11" s="7">
        <f t="shared" si="0"/>
        <v>18.888100000000001</v>
      </c>
      <c r="G11" s="5">
        <v>25</v>
      </c>
      <c r="H11" s="12">
        <f t="shared" si="1"/>
        <v>21.175000000000001</v>
      </c>
      <c r="I11" s="37"/>
      <c r="J11" s="2" t="s">
        <v>151</v>
      </c>
    </row>
    <row r="12" spans="1:15" ht="18" customHeight="1">
      <c r="A12" s="13" t="s">
        <v>152</v>
      </c>
      <c r="B12" s="6"/>
      <c r="C12" s="28" t="s">
        <v>97</v>
      </c>
      <c r="D12" s="4">
        <v>27.3</v>
      </c>
      <c r="E12" s="30">
        <f>IncludeESS*ESSInstallLabor*StorageDuration*ModuleEfficiency*(1+LaborBurdenRate)</f>
        <v>0</v>
      </c>
      <c r="F12" s="7">
        <f t="shared" si="0"/>
        <v>0</v>
      </c>
      <c r="G12" s="5"/>
      <c r="H12" s="12">
        <f t="shared" si="1"/>
        <v>0</v>
      </c>
      <c r="I12" s="37"/>
      <c r="J12" s="2" t="s">
        <v>153</v>
      </c>
    </row>
    <row r="13" spans="1:15" ht="18" customHeight="1">
      <c r="A13" s="13" t="s">
        <v>154</v>
      </c>
      <c r="B13" s="6">
        <v>3500</v>
      </c>
      <c r="C13" s="28" t="s">
        <v>91</v>
      </c>
      <c r="D13" s="4">
        <v>8</v>
      </c>
      <c r="E13" s="30">
        <f>IncludeIndirect*1</f>
        <v>1</v>
      </c>
      <c r="F13" s="7">
        <f t="shared" si="0"/>
        <v>24.794625719769677</v>
      </c>
      <c r="G13" s="5"/>
      <c r="H13" s="12">
        <f t="shared" si="1"/>
        <v>24.794625719769677</v>
      </c>
      <c r="I13" s="37" t="s">
        <v>83</v>
      </c>
      <c r="J13" s="2" t="s">
        <v>300</v>
      </c>
    </row>
    <row r="14" spans="1:15" ht="18" customHeight="1">
      <c r="A14" s="13" t="s">
        <v>155</v>
      </c>
      <c r="B14" s="6"/>
      <c r="C14" s="28" t="s">
        <v>91</v>
      </c>
      <c r="D14" s="4">
        <v>11</v>
      </c>
      <c r="E14" s="30">
        <f>IncludeIndirect*1</f>
        <v>1</v>
      </c>
      <c r="F14" s="7">
        <f t="shared" si="0"/>
        <v>11</v>
      </c>
      <c r="G14" s="5"/>
      <c r="H14" s="12">
        <f t="shared" si="1"/>
        <v>11</v>
      </c>
      <c r="I14" s="37" t="s">
        <v>83</v>
      </c>
      <c r="J14" s="2" t="s">
        <v>156</v>
      </c>
    </row>
    <row r="15" spans="1:15" ht="18" customHeight="1">
      <c r="A15" s="13" t="s">
        <v>157</v>
      </c>
      <c r="B15" s="6">
        <v>10000</v>
      </c>
      <c r="C15" s="28"/>
      <c r="D15" s="4"/>
      <c r="E15" s="30"/>
      <c r="F15" s="7">
        <f t="shared" si="0"/>
        <v>47.984644913627648</v>
      </c>
      <c r="G15" s="4"/>
      <c r="H15" s="12">
        <f t="shared" si="1"/>
        <v>47.984644913627648</v>
      </c>
      <c r="I15" s="37" t="s">
        <v>83</v>
      </c>
      <c r="J15" s="2" t="s">
        <v>158</v>
      </c>
    </row>
    <row r="16" spans="1:15" ht="18" customHeight="1">
      <c r="A16" s="13"/>
      <c r="B16" s="6"/>
      <c r="C16" s="28"/>
      <c r="D16" s="4"/>
      <c r="E16" s="30"/>
      <c r="F16" s="7">
        <f t="shared" si="0"/>
        <v>0</v>
      </c>
      <c r="G16" s="5"/>
      <c r="H16" s="12">
        <f t="shared" si="1"/>
        <v>0</v>
      </c>
      <c r="I16" s="37"/>
      <c r="J16" s="2"/>
    </row>
    <row r="17" spans="1:10" ht="18" customHeight="1">
      <c r="A17" s="13"/>
      <c r="B17" s="6"/>
      <c r="C17" s="28"/>
      <c r="D17" s="4"/>
      <c r="E17" s="30"/>
      <c r="F17" s="7">
        <f t="shared" si="0"/>
        <v>0</v>
      </c>
      <c r="G17" s="5"/>
      <c r="H17" s="12">
        <f t="shared" si="1"/>
        <v>0</v>
      </c>
      <c r="I17" s="37"/>
      <c r="J17" s="2"/>
    </row>
    <row r="18" spans="1:10" ht="18" customHeight="1">
      <c r="A18" s="13"/>
      <c r="B18" s="6"/>
      <c r="C18" s="28"/>
      <c r="D18" s="4"/>
      <c r="E18" s="30"/>
      <c r="F18" s="7">
        <f t="shared" si="0"/>
        <v>0</v>
      </c>
      <c r="G18" s="5"/>
      <c r="H18" s="12">
        <f t="shared" si="1"/>
        <v>0</v>
      </c>
      <c r="I18" s="37"/>
      <c r="J18" s="2"/>
    </row>
    <row r="19" spans="1:10" ht="18" customHeight="1">
      <c r="A19" s="13"/>
      <c r="B19" s="6"/>
      <c r="C19" s="29"/>
      <c r="D19" s="4"/>
      <c r="E19" s="30"/>
      <c r="F19" s="7">
        <f t="shared" si="0"/>
        <v>0</v>
      </c>
      <c r="G19" s="5"/>
      <c r="H19" s="12">
        <f t="shared" si="1"/>
        <v>0</v>
      </c>
      <c r="I19" s="37"/>
      <c r="J19" s="2"/>
    </row>
    <row r="20" spans="1:10" ht="18" customHeight="1">
      <c r="A20" s="13"/>
      <c r="B20" s="6"/>
      <c r="C20" s="24"/>
      <c r="D20" s="4"/>
      <c r="E20" s="30"/>
      <c r="F20" s="7">
        <f t="shared" si="0"/>
        <v>0</v>
      </c>
      <c r="G20" s="5"/>
      <c r="H20" s="12">
        <f t="shared" si="1"/>
        <v>0</v>
      </c>
      <c r="I20" s="37"/>
      <c r="J20" s="2"/>
    </row>
    <row r="21" spans="1:10" ht="18" customHeight="1">
      <c r="A21" s="13"/>
      <c r="B21" s="6"/>
      <c r="C21" s="28"/>
      <c r="D21" s="4"/>
      <c r="E21" s="30"/>
      <c r="F21" s="7">
        <f t="shared" si="0"/>
        <v>0</v>
      </c>
      <c r="G21" s="5"/>
      <c r="H21" s="12">
        <f t="shared" si="1"/>
        <v>0</v>
      </c>
      <c r="I21" s="37"/>
      <c r="J21" s="2"/>
    </row>
    <row r="22" spans="1:10">
      <c r="A22"/>
      <c r="B22"/>
      <c r="C22"/>
      <c r="D22"/>
      <c r="E22" s="15" t="s">
        <v>62</v>
      </c>
      <c r="F22" s="8">
        <f>SUM(F10:F21)</f>
        <v>132.31237063339734</v>
      </c>
      <c r="G22" s="15" t="s">
        <v>61</v>
      </c>
      <c r="H22" s="8">
        <f>SUM(H10:H21)</f>
        <v>136.29327063339733</v>
      </c>
      <c r="I22"/>
      <c r="J22"/>
    </row>
    <row r="23" spans="1:10">
      <c r="F23" s="11"/>
    </row>
  </sheetData>
  <sheetProtection algorithmName="SHA-512" hashValue="MsABYCByMl9tXDtqHCfUBrmcGsFyZOV0E3HniWec0jCBDEZgvMBRU7gj1L3kDDTCq5VW5L3mif4tihnAenkvoA==" saltValue="Ai17RUQQCCyNXzYcoEQwjQ==" spinCount="100000" sheet="1" scenarios="1"/>
  <mergeCells count="2">
    <mergeCell ref="A2:B2"/>
    <mergeCell ref="A5:F7"/>
  </mergeCells>
  <conditionalFormatting sqref="B10:B14 D10:D15 G18:G21 D19:D21 B19:B21 G10:G16">
    <cfRule type="expression" dxfId="24" priority="8">
      <formula>_xlfn.ISFORMULA(B10)</formula>
    </cfRule>
  </conditionalFormatting>
  <conditionalFormatting sqref="A3:B3">
    <cfRule type="expression" dxfId="23" priority="7">
      <formula>_xlfn.ISFORMULA(A3)</formula>
    </cfRule>
  </conditionalFormatting>
  <conditionalFormatting sqref="D15:D16 B15:B16">
    <cfRule type="expression" dxfId="22" priority="6">
      <formula>_xlfn.ISFORMULA(B15)</formula>
    </cfRule>
  </conditionalFormatting>
  <conditionalFormatting sqref="G17">
    <cfRule type="expression" dxfId="21" priority="4">
      <formula>_xlfn.ISFORMULA(G17)</formula>
    </cfRule>
  </conditionalFormatting>
  <conditionalFormatting sqref="B17:B18 D17:D18">
    <cfRule type="expression" dxfId="20" priority="3">
      <formula>_xlfn.ISFORMULA(B17)</formula>
    </cfRule>
  </conditionalFormatting>
  <conditionalFormatting sqref="D16:D17 B15:B17">
    <cfRule type="expression" dxfId="19" priority="2">
      <formula>_xlfn.ISFORMULA(B15)</formula>
    </cfRule>
  </conditionalFormatting>
  <conditionalFormatting sqref="D16:D17 B15:B17">
    <cfRule type="expression" dxfId="18" priority="1">
      <formula>_xlfn.ISFORMULA(B15)</formula>
    </cfRule>
  </conditionalFormatting>
  <dataValidations count="1">
    <dataValidation type="decimal" operator="greaterThan" allowBlank="1" showInputMessage="1" showErrorMessage="1" sqref="A3" xr:uid="{3A6F4155-DD2C-4BD4-BD5D-E056C33118B0}">
      <formula1>0</formula1>
    </dataValidation>
  </dataValidations>
  <pageMargins left="0.7" right="0.7" top="0.75" bottom="0.75" header="0.3" footer="0.3"/>
  <pageSetup scale="65" orientation="landscape"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26625" r:id="rId4" name="Button 1">
              <controlPr defaultSize="0" print="0" autoFill="0" autoPict="0" macro="[0]!LoadSheet">
                <anchor moveWithCells="1" sizeWithCells="1">
                  <from>
                    <xdr:col>3</xdr:col>
                    <xdr:colOff>69850</xdr:colOff>
                    <xdr:row>2</xdr:row>
                    <xdr:rowOff>25400</xdr:rowOff>
                  </from>
                  <to>
                    <xdr:col>3</xdr:col>
                    <xdr:colOff>831850</xdr:colOff>
                    <xdr:row>2</xdr:row>
                    <xdr:rowOff>222250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DF55FF-8C10-4416-8848-D4C890396596}">
  <sheetPr codeName="Sheet18">
    <pageSetUpPr fitToPage="1"/>
  </sheetPr>
  <dimension ref="A1:O23"/>
  <sheetViews>
    <sheetView workbookViewId="0">
      <selection activeCell="A3" sqref="A3"/>
    </sheetView>
  </sheetViews>
  <sheetFormatPr defaultColWidth="8.90625" defaultRowHeight="14.5"/>
  <cols>
    <col min="1" max="1" width="15.6328125" style="1" customWidth="1"/>
    <col min="2" max="2" width="12.36328125" style="1" customWidth="1"/>
    <col min="3" max="3" width="11.6328125" style="1" customWidth="1"/>
    <col min="4" max="4" width="12.6328125" style="1" customWidth="1"/>
    <col min="5" max="5" width="12.81640625" style="1" customWidth="1"/>
    <col min="6" max="6" width="13.6328125" style="1" customWidth="1"/>
    <col min="7" max="7" width="15.6328125" style="1" customWidth="1"/>
    <col min="8" max="8" width="13.54296875" style="1" customWidth="1"/>
    <col min="9" max="9" width="4.6328125" style="1" customWidth="1"/>
    <col min="10" max="10" width="78.81640625" style="1" customWidth="1"/>
    <col min="11" max="16384" width="8.90625" style="1"/>
  </cols>
  <sheetData>
    <row r="1" spans="1:15" ht="18" customHeight="1">
      <c r="A1" s="14" t="s">
        <v>41</v>
      </c>
      <c r="B1"/>
      <c r="C1"/>
      <c r="D1" s="25"/>
      <c r="E1"/>
      <c r="F1"/>
      <c r="G1"/>
      <c r="H1"/>
      <c r="I1"/>
      <c r="J1"/>
    </row>
    <row r="2" spans="1:15" ht="18" customHeight="1">
      <c r="A2" s="71" t="str">
        <f>System!A2</f>
        <v>System Size</v>
      </c>
      <c r="B2" s="71"/>
      <c r="C2"/>
      <c r="D2" s="26"/>
      <c r="E2" s="27"/>
      <c r="F2"/>
      <c r="G2"/>
      <c r="H2" s="16"/>
      <c r="I2" t="s">
        <v>9</v>
      </c>
      <c r="J2"/>
    </row>
    <row r="3" spans="1:15" ht="18" customHeight="1">
      <c r="A3" s="62">
        <f>SystemSize</f>
        <v>41.68</v>
      </c>
      <c r="B3" s="13" t="str">
        <f>SystemUnit</f>
        <v>kWdc</v>
      </c>
      <c r="C3"/>
      <c r="D3"/>
      <c r="E3"/>
      <c r="F3"/>
      <c r="G3"/>
      <c r="H3" s="17"/>
      <c r="I3" t="s">
        <v>10</v>
      </c>
      <c r="J3"/>
    </row>
    <row r="4" spans="1:15" ht="18" customHeight="1">
      <c r="A4"/>
      <c r="B4"/>
      <c r="C4"/>
      <c r="D4"/>
      <c r="E4"/>
      <c r="F4"/>
      <c r="G4"/>
      <c r="H4" s="18"/>
      <c r="I4" t="s">
        <v>43</v>
      </c>
      <c r="J4"/>
    </row>
    <row r="5" spans="1:15" ht="18" customHeight="1">
      <c r="A5" s="70" t="s">
        <v>301</v>
      </c>
      <c r="B5" s="72"/>
      <c r="C5" s="72"/>
      <c r="D5" s="72"/>
      <c r="E5" s="72"/>
      <c r="F5" s="72"/>
      <c r="G5"/>
      <c r="H5" s="19"/>
      <c r="I5" t="s">
        <v>8</v>
      </c>
      <c r="J5"/>
    </row>
    <row r="6" spans="1:15" ht="18" customHeight="1">
      <c r="A6" s="72"/>
      <c r="B6" s="72"/>
      <c r="C6" s="72"/>
      <c r="D6" s="72"/>
      <c r="E6" s="72"/>
      <c r="F6" s="72"/>
      <c r="G6"/>
      <c r="H6"/>
      <c r="I6"/>
      <c r="J6"/>
    </row>
    <row r="7" spans="1:15" ht="18" customHeight="1">
      <c r="A7" s="72"/>
      <c r="B7" s="72"/>
      <c r="C7" s="72"/>
      <c r="D7" s="72"/>
      <c r="E7" s="72"/>
      <c r="F7" s="72"/>
      <c r="G7"/>
      <c r="H7"/>
      <c r="I7"/>
      <c r="J7"/>
    </row>
    <row r="8" spans="1:15" ht="18" customHeight="1">
      <c r="A8" s="20"/>
      <c r="B8"/>
      <c r="C8"/>
      <c r="D8"/>
      <c r="E8"/>
      <c r="F8"/>
      <c r="G8"/>
      <c r="H8"/>
      <c r="I8"/>
      <c r="J8"/>
    </row>
    <row r="9" spans="1:15" s="3" customFormat="1" ht="29.75" customHeight="1">
      <c r="A9" s="21" t="s">
        <v>0</v>
      </c>
      <c r="B9" s="64" t="s">
        <v>25</v>
      </c>
      <c r="C9" s="22" t="s">
        <v>4</v>
      </c>
      <c r="D9" s="64" t="s">
        <v>3</v>
      </c>
      <c r="E9" s="22" t="str">
        <f>CONCATENATE("Intrinsic Units per ",B3)</f>
        <v>Intrinsic Units per kWdc</v>
      </c>
      <c r="F9" s="22" t="str">
        <f>CONCATENATE("Cost Element per ",$B$3)</f>
        <v>Cost Element per kWdc</v>
      </c>
      <c r="G9" s="64" t="s">
        <v>19</v>
      </c>
      <c r="H9" s="22" t="str">
        <f>CONCATENATE("Price Element per ",$B$3)</f>
        <v>Price Element per kWdc</v>
      </c>
      <c r="I9" t="s">
        <v>65</v>
      </c>
      <c r="J9" t="s">
        <v>15</v>
      </c>
      <c r="K9" s="1"/>
      <c r="L9" s="1"/>
      <c r="M9" s="1"/>
      <c r="N9" s="1"/>
      <c r="O9" s="1"/>
    </row>
    <row r="10" spans="1:15" ht="18" customHeight="1">
      <c r="A10" s="13" t="s">
        <v>159</v>
      </c>
      <c r="B10" s="6"/>
      <c r="C10" s="28" t="s">
        <v>91</v>
      </c>
      <c r="D10" s="4">
        <v>1.5</v>
      </c>
      <c r="E10" s="30">
        <f>1/ModuleEfficiency</f>
        <v>5</v>
      </c>
      <c r="F10" s="7">
        <f t="shared" ref="F10:F21" si="0">($B10/$A$3+$E10*$D10)*includerow($I10,IncludeESS,IncludeIndirect)</f>
        <v>7.5</v>
      </c>
      <c r="G10" s="5">
        <v>3</v>
      </c>
      <c r="H10" s="12">
        <f t="shared" ref="H10:H21" si="1">IF($G10&lt;&gt;0,$G10*$E10*includerow($I10,IncludeESS,IncludeIndirect),($B10/$A$3+$D10*$E10)*includerow($I10,IncludeESS,IncludeIndirect))</f>
        <v>15</v>
      </c>
      <c r="I10" s="37"/>
      <c r="J10" s="2" t="s">
        <v>160</v>
      </c>
    </row>
    <row r="11" spans="1:15" ht="18" customHeight="1">
      <c r="A11" s="13" t="s">
        <v>161</v>
      </c>
      <c r="B11" s="6"/>
      <c r="C11" s="28" t="s">
        <v>110</v>
      </c>
      <c r="D11" s="4">
        <v>0.4</v>
      </c>
      <c r="E11" s="30">
        <f>ModuleWeight/ModuleEfficiency</f>
        <v>57.5</v>
      </c>
      <c r="F11" s="7">
        <f t="shared" si="0"/>
        <v>23</v>
      </c>
      <c r="G11" s="5"/>
      <c r="H11" s="12">
        <f t="shared" si="1"/>
        <v>23</v>
      </c>
      <c r="I11" s="37"/>
      <c r="J11" s="2"/>
    </row>
    <row r="12" spans="1:15" ht="18" customHeight="1">
      <c r="A12" s="13" t="s">
        <v>162</v>
      </c>
      <c r="B12" s="6">
        <v>70000</v>
      </c>
      <c r="C12" s="28" t="s">
        <v>91</v>
      </c>
      <c r="D12" s="4">
        <v>5</v>
      </c>
      <c r="E12" s="30">
        <f>1/ModuleEfficiency</f>
        <v>5</v>
      </c>
      <c r="F12" s="7">
        <f t="shared" si="0"/>
        <v>1704.4625719769674</v>
      </c>
      <c r="G12" s="5"/>
      <c r="H12" s="12">
        <f t="shared" si="1"/>
        <v>1704.4625719769674</v>
      </c>
      <c r="I12" s="37"/>
      <c r="J12" s="2" t="s">
        <v>302</v>
      </c>
    </row>
    <row r="13" spans="1:15" ht="18" customHeight="1">
      <c r="A13" s="13" t="s">
        <v>163</v>
      </c>
      <c r="B13" s="6">
        <v>25000</v>
      </c>
      <c r="C13" s="28"/>
      <c r="D13" s="4"/>
      <c r="E13" s="30"/>
      <c r="F13" s="7">
        <f t="shared" si="0"/>
        <v>599.80806142034544</v>
      </c>
      <c r="G13" s="5"/>
      <c r="H13" s="12">
        <f t="shared" si="1"/>
        <v>599.80806142034544</v>
      </c>
      <c r="I13" s="37"/>
      <c r="J13" s="2" t="s">
        <v>164</v>
      </c>
    </row>
    <row r="14" spans="1:15" ht="18" customHeight="1">
      <c r="A14" s="13" t="s">
        <v>303</v>
      </c>
      <c r="B14" s="6">
        <v>30000</v>
      </c>
      <c r="C14" s="28" t="s">
        <v>22</v>
      </c>
      <c r="D14" s="4">
        <v>60</v>
      </c>
      <c r="E14" s="30">
        <v>1</v>
      </c>
      <c r="F14" s="7">
        <f t="shared" si="0"/>
        <v>779.76967370441457</v>
      </c>
      <c r="G14" s="5"/>
      <c r="H14" s="12">
        <f t="shared" si="1"/>
        <v>779.76967370441457</v>
      </c>
      <c r="I14" s="37"/>
      <c r="J14" s="2" t="s">
        <v>304</v>
      </c>
    </row>
    <row r="15" spans="1:15" ht="18" customHeight="1">
      <c r="A15" s="13"/>
      <c r="B15" s="6"/>
      <c r="C15" s="28"/>
      <c r="D15" s="4"/>
      <c r="E15" s="30"/>
      <c r="F15" s="7">
        <f t="shared" si="0"/>
        <v>0</v>
      </c>
      <c r="G15" s="4"/>
      <c r="H15" s="12">
        <f t="shared" si="1"/>
        <v>0</v>
      </c>
      <c r="I15" s="37"/>
      <c r="J15" s="2"/>
    </row>
    <row r="16" spans="1:15" ht="18" customHeight="1">
      <c r="A16" s="13"/>
      <c r="B16" s="6"/>
      <c r="C16" s="28"/>
      <c r="D16" s="4"/>
      <c r="E16" s="30"/>
      <c r="F16" s="7">
        <f t="shared" si="0"/>
        <v>0</v>
      </c>
      <c r="G16" s="5"/>
      <c r="H16" s="12">
        <f t="shared" si="1"/>
        <v>0</v>
      </c>
      <c r="I16" s="37"/>
      <c r="J16" s="2"/>
    </row>
    <row r="17" spans="1:10" ht="18" customHeight="1">
      <c r="A17" s="13"/>
      <c r="B17" s="6"/>
      <c r="C17" s="28"/>
      <c r="D17" s="4"/>
      <c r="E17" s="30"/>
      <c r="F17" s="7">
        <f t="shared" si="0"/>
        <v>0</v>
      </c>
      <c r="G17" s="5"/>
      <c r="H17" s="12">
        <f t="shared" si="1"/>
        <v>0</v>
      </c>
      <c r="I17" s="37"/>
      <c r="J17" s="2"/>
    </row>
    <row r="18" spans="1:10" ht="18" customHeight="1">
      <c r="A18" s="13"/>
      <c r="B18" s="6"/>
      <c r="C18" s="29"/>
      <c r="D18" s="4"/>
      <c r="E18" s="30"/>
      <c r="F18" s="7">
        <f t="shared" si="0"/>
        <v>0</v>
      </c>
      <c r="G18" s="5"/>
      <c r="H18" s="12">
        <f t="shared" si="1"/>
        <v>0</v>
      </c>
      <c r="I18" s="37"/>
      <c r="J18" s="2"/>
    </row>
    <row r="19" spans="1:10" ht="18" customHeight="1">
      <c r="A19" s="13"/>
      <c r="B19" s="6"/>
      <c r="C19" s="28"/>
      <c r="D19" s="4"/>
      <c r="E19" s="30"/>
      <c r="F19" s="7">
        <f t="shared" si="0"/>
        <v>0</v>
      </c>
      <c r="G19" s="5"/>
      <c r="H19" s="12">
        <f t="shared" si="1"/>
        <v>0</v>
      </c>
      <c r="I19" s="37"/>
      <c r="J19" s="2"/>
    </row>
    <row r="20" spans="1:10" ht="18" customHeight="1">
      <c r="A20" s="13"/>
      <c r="B20" s="6"/>
      <c r="C20" s="29"/>
      <c r="D20" s="4"/>
      <c r="E20" s="30"/>
      <c r="F20" s="7">
        <f t="shared" si="0"/>
        <v>0</v>
      </c>
      <c r="G20" s="5"/>
      <c r="H20" s="12">
        <f t="shared" si="1"/>
        <v>0</v>
      </c>
      <c r="I20" s="37"/>
      <c r="J20" s="2"/>
    </row>
    <row r="21" spans="1:10" ht="18" customHeight="1">
      <c r="A21" s="13"/>
      <c r="B21" s="6"/>
      <c r="C21" s="28"/>
      <c r="D21" s="4"/>
      <c r="E21" s="30"/>
      <c r="F21" s="7">
        <f t="shared" si="0"/>
        <v>0</v>
      </c>
      <c r="G21" s="5"/>
      <c r="H21" s="12">
        <f t="shared" si="1"/>
        <v>0</v>
      </c>
      <c r="I21" s="37"/>
      <c r="J21" s="2"/>
    </row>
    <row r="22" spans="1:10">
      <c r="A22"/>
      <c r="B22"/>
      <c r="C22"/>
      <c r="D22"/>
      <c r="E22" s="15" t="s">
        <v>62</v>
      </c>
      <c r="F22" s="8">
        <f>SUM(F10:F21)</f>
        <v>3114.5403071017272</v>
      </c>
      <c r="G22" s="15" t="s">
        <v>61</v>
      </c>
      <c r="H22" s="8">
        <f>SUM(H10:H21)</f>
        <v>3122.0403071017272</v>
      </c>
      <c r="I22"/>
      <c r="J22"/>
    </row>
    <row r="23" spans="1:10">
      <c r="F23" s="11"/>
    </row>
  </sheetData>
  <sheetProtection algorithmName="SHA-512" hashValue="k3Ga1TjeNUv3x441Dz2NiLHwKdtfk6dttG9ZlCkvDKgJLfndLaWC/wc3G7Mto1Z4MjTXEs/1vcBCShbdTqSzdQ==" saltValue="aHQgblqoosOJFhnwp/D8bA==" spinCount="100000" sheet="1" scenarios="1"/>
  <mergeCells count="2">
    <mergeCell ref="A2:B2"/>
    <mergeCell ref="A5:F7"/>
  </mergeCells>
  <conditionalFormatting sqref="D21 B21 D11:D18 B11:B18 G11:G21">
    <cfRule type="expression" dxfId="17" priority="17">
      <formula>_xlfn.ISFORMULA(B11)</formula>
    </cfRule>
  </conditionalFormatting>
  <conditionalFormatting sqref="G10">
    <cfRule type="expression" dxfId="16" priority="16">
      <formula>_xlfn.ISFORMULA(G10)</formula>
    </cfRule>
  </conditionalFormatting>
  <conditionalFormatting sqref="B14:B18">
    <cfRule type="expression" dxfId="15" priority="13">
      <formula>_xlfn.ISFORMULA(B14)</formula>
    </cfRule>
  </conditionalFormatting>
  <conditionalFormatting sqref="A3:B3">
    <cfRule type="expression" dxfId="14" priority="12">
      <formula>_xlfn.ISFORMULA(A3)</formula>
    </cfRule>
  </conditionalFormatting>
  <conditionalFormatting sqref="B10:B15 D10:D15">
    <cfRule type="expression" dxfId="13" priority="10">
      <formula>_xlfn.ISFORMULA(B10)</formula>
    </cfRule>
  </conditionalFormatting>
  <conditionalFormatting sqref="B10:B14 D10:D14">
    <cfRule type="expression" dxfId="12" priority="9">
      <formula>_xlfn.ISFORMULA(B10)</formula>
    </cfRule>
  </conditionalFormatting>
  <conditionalFormatting sqref="B20 D20">
    <cfRule type="expression" dxfId="11" priority="8">
      <formula>_xlfn.ISFORMULA(B20)</formula>
    </cfRule>
  </conditionalFormatting>
  <conditionalFormatting sqref="B19 D19">
    <cfRule type="expression" dxfId="10" priority="7">
      <formula>_xlfn.ISFORMULA(B19)</formula>
    </cfRule>
  </conditionalFormatting>
  <conditionalFormatting sqref="B17:B18 D17:D18">
    <cfRule type="expression" dxfId="9" priority="6">
      <formula>_xlfn.ISFORMULA(B17)</formula>
    </cfRule>
  </conditionalFormatting>
  <conditionalFormatting sqref="D15:D18">
    <cfRule type="expression" dxfId="8" priority="5">
      <formula>_xlfn.ISFORMULA(D15)</formula>
    </cfRule>
  </conditionalFormatting>
  <conditionalFormatting sqref="B15:B17 D15:D17">
    <cfRule type="expression" dxfId="7" priority="4">
      <formula>_xlfn.ISFORMULA(B15)</formula>
    </cfRule>
  </conditionalFormatting>
  <conditionalFormatting sqref="D14:D16">
    <cfRule type="expression" dxfId="6" priority="3">
      <formula>_xlfn.ISFORMULA(D14)</formula>
    </cfRule>
  </conditionalFormatting>
  <conditionalFormatting sqref="B10">
    <cfRule type="expression" dxfId="5" priority="2">
      <formula>_xlfn.ISFORMULA(B10)</formula>
    </cfRule>
  </conditionalFormatting>
  <conditionalFormatting sqref="B10">
    <cfRule type="expression" dxfId="4" priority="1">
      <formula>_xlfn.ISFORMULA(B10)</formula>
    </cfRule>
  </conditionalFormatting>
  <dataValidations count="1">
    <dataValidation type="decimal" operator="greaterThan" allowBlank="1" showInputMessage="1" showErrorMessage="1" sqref="A3" xr:uid="{336B3BC4-8F4D-49A9-B831-09995055EF2B}">
      <formula1>0</formula1>
    </dataValidation>
  </dataValidations>
  <pageMargins left="0.7" right="0.7" top="0.75" bottom="0.75" header="0.3" footer="0.3"/>
  <pageSetup scale="72" orientation="landscape"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41985" r:id="rId4" name="Button 1">
              <controlPr defaultSize="0" print="0" autoFill="0" autoPict="0" macro="[0]!LoadSheet">
                <anchor moveWithCells="1" sizeWithCells="1">
                  <from>
                    <xdr:col>3</xdr:col>
                    <xdr:colOff>69850</xdr:colOff>
                    <xdr:row>2</xdr:row>
                    <xdr:rowOff>25400</xdr:rowOff>
                  </from>
                  <to>
                    <xdr:col>3</xdr:col>
                    <xdr:colOff>831850</xdr:colOff>
                    <xdr:row>2</xdr:row>
                    <xdr:rowOff>222250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D7802D-391A-4E3C-A9C5-B04D24BF956E}">
  <sheetPr codeName="Sheet10">
    <pageSetUpPr fitToPage="1"/>
  </sheetPr>
  <dimension ref="A1:O37"/>
  <sheetViews>
    <sheetView workbookViewId="0">
      <selection activeCell="A3" sqref="A3"/>
    </sheetView>
  </sheetViews>
  <sheetFormatPr defaultColWidth="8.90625" defaultRowHeight="14.5"/>
  <cols>
    <col min="1" max="1" width="15.6328125" style="1" customWidth="1"/>
    <col min="2" max="2" width="12.36328125" style="1" customWidth="1"/>
    <col min="3" max="3" width="11.6328125" style="1" customWidth="1"/>
    <col min="4" max="4" width="12.6328125" style="1" customWidth="1"/>
    <col min="5" max="5" width="12.81640625" style="1" customWidth="1"/>
    <col min="6" max="6" width="13.6328125" style="1" customWidth="1"/>
    <col min="7" max="7" width="15.6328125" style="1" customWidth="1"/>
    <col min="8" max="8" width="13.54296875" style="1" customWidth="1"/>
    <col min="9" max="9" width="4.6328125" style="1" customWidth="1"/>
    <col min="10" max="10" width="78.54296875" style="1" customWidth="1"/>
    <col min="11" max="16384" width="8.90625" style="1"/>
  </cols>
  <sheetData>
    <row r="1" spans="1:15" ht="18" customHeight="1">
      <c r="A1" s="14" t="s">
        <v>11</v>
      </c>
      <c r="B1"/>
      <c r="C1"/>
      <c r="D1" s="25"/>
      <c r="E1"/>
      <c r="F1"/>
      <c r="G1"/>
      <c r="H1"/>
      <c r="I1"/>
      <c r="J1"/>
    </row>
    <row r="2" spans="1:15" ht="18" customHeight="1">
      <c r="A2" s="71" t="s">
        <v>12</v>
      </c>
      <c r="B2" s="71"/>
      <c r="C2"/>
      <c r="D2" s="26"/>
      <c r="E2" s="27"/>
      <c r="F2"/>
      <c r="G2"/>
      <c r="H2" s="16"/>
      <c r="I2" t="s">
        <v>9</v>
      </c>
      <c r="J2"/>
    </row>
    <row r="3" spans="1:15" ht="18" customHeight="1">
      <c r="A3" s="9">
        <v>100000</v>
      </c>
      <c r="B3" s="17" t="s">
        <v>22</v>
      </c>
      <c r="C3"/>
      <c r="D3"/>
      <c r="E3"/>
      <c r="F3"/>
      <c r="G3"/>
      <c r="H3" s="17"/>
      <c r="I3" t="s">
        <v>10</v>
      </c>
      <c r="J3"/>
    </row>
    <row r="4" spans="1:15" ht="18" customHeight="1">
      <c r="A4"/>
      <c r="B4"/>
      <c r="C4"/>
      <c r="D4"/>
      <c r="E4"/>
      <c r="F4"/>
      <c r="G4"/>
      <c r="H4" s="18"/>
      <c r="I4" t="s">
        <v>43</v>
      </c>
      <c r="J4"/>
    </row>
    <row r="5" spans="1:15" ht="18" customHeight="1">
      <c r="A5" s="70" t="s">
        <v>165</v>
      </c>
      <c r="B5" s="72"/>
      <c r="C5" s="72"/>
      <c r="D5" s="72"/>
      <c r="E5" s="72"/>
      <c r="F5" s="72"/>
      <c r="G5"/>
      <c r="H5" s="19"/>
      <c r="I5" t="s">
        <v>8</v>
      </c>
      <c r="J5"/>
    </row>
    <row r="6" spans="1:15" ht="18" customHeight="1">
      <c r="A6" s="72"/>
      <c r="B6" s="72"/>
      <c r="C6" s="72"/>
      <c r="D6" s="72"/>
      <c r="E6" s="72"/>
      <c r="F6" s="72"/>
      <c r="G6"/>
      <c r="H6"/>
      <c r="I6"/>
      <c r="J6"/>
    </row>
    <row r="7" spans="1:15" ht="18" customHeight="1">
      <c r="A7" s="72"/>
      <c r="B7" s="72"/>
      <c r="C7" s="72"/>
      <c r="D7" s="72"/>
      <c r="E7" s="72"/>
      <c r="F7" s="72"/>
      <c r="G7"/>
      <c r="H7"/>
      <c r="I7"/>
      <c r="J7"/>
    </row>
    <row r="8" spans="1:15" ht="18" customHeight="1">
      <c r="A8" s="20"/>
      <c r="B8"/>
      <c r="C8"/>
      <c r="D8"/>
      <c r="E8"/>
      <c r="F8"/>
      <c r="G8"/>
      <c r="H8"/>
      <c r="I8"/>
      <c r="J8"/>
    </row>
    <row r="9" spans="1:15" s="3" customFormat="1" ht="29.75" customHeight="1">
      <c r="A9" s="21" t="s">
        <v>0</v>
      </c>
      <c r="B9" s="64" t="s">
        <v>16</v>
      </c>
      <c r="C9" s="22" t="s">
        <v>4</v>
      </c>
      <c r="D9" s="64" t="s">
        <v>3</v>
      </c>
      <c r="E9" s="22" t="str">
        <f>CONCATENATE("Intrinsic Units per ",B3)</f>
        <v>Intrinsic Units per kWdc</v>
      </c>
      <c r="F9" s="22" t="str">
        <f>CONCATENATE("Cost Element per ",$B$3)</f>
        <v>Cost Element per kWdc</v>
      </c>
      <c r="G9" s="64" t="s">
        <v>19</v>
      </c>
      <c r="H9" s="22" t="str">
        <f>CONCATENATE("Price Element per ",$B$3)</f>
        <v>Price Element per kWdc</v>
      </c>
      <c r="I9" t="s">
        <v>65</v>
      </c>
      <c r="J9" t="s">
        <v>15</v>
      </c>
      <c r="K9" s="1"/>
      <c r="L9" s="1"/>
      <c r="M9" s="1"/>
      <c r="N9" s="1"/>
      <c r="O9" s="1"/>
    </row>
    <row r="10" spans="1:15" ht="18" customHeight="1">
      <c r="A10" s="13" t="s">
        <v>166</v>
      </c>
      <c r="B10" s="6"/>
      <c r="C10" s="28" t="s">
        <v>22</v>
      </c>
      <c r="D10" s="66">
        <f>(SysModuleMSP+SysInverterMSP+SysESSMSP+SysSBOSMSP+SysEBOSMSP)*SalesTaxRate</f>
        <v>35.502128633752235</v>
      </c>
      <c r="E10" s="30">
        <v>1</v>
      </c>
      <c r="F10" s="7">
        <f t="shared" ref="F10:F21" si="0">($B10/$A$3+$E10*$D10)*includerow($I10,IncludeESS,IncludeIndirect)</f>
        <v>35.502128633752235</v>
      </c>
      <c r="G10" s="67">
        <f>B10/$A$3+(SysModuleMMP+SysInverterMMP+SysESSMMP+SysSBOSMMP+SysEBOSMMP)*SalesTaxRate</f>
        <v>42.643604756734597</v>
      </c>
      <c r="H10" s="12">
        <f t="shared" ref="H10:H21" si="1">IF($G10&lt;&gt;0,$G10*$E10*includerow($I10,IncludeESS,IncludeIndirect),($B10/$A$3+$D10*$E10)*includerow($I10,IncludeESS,IncludeIndirect))</f>
        <v>42.643604756734597</v>
      </c>
      <c r="I10" s="37"/>
      <c r="J10" s="2" t="s">
        <v>167</v>
      </c>
    </row>
    <row r="11" spans="1:15" ht="18" customHeight="1">
      <c r="A11" s="13" t="s">
        <v>168</v>
      </c>
      <c r="B11" s="6"/>
      <c r="C11" s="28" t="s">
        <v>22</v>
      </c>
      <c r="D11" s="66">
        <f>(SysModuleMSP+SysInverterMSP+SysESSMSP+SysSBOSMSP+SysEBOSMSP+SysFieldworkMSP+SysOfficeworkMSP)*ContingencyRate</f>
        <v>219.41039131839455</v>
      </c>
      <c r="E11" s="30">
        <v>1</v>
      </c>
      <c r="F11" s="7">
        <f t="shared" si="0"/>
        <v>219.41039131839455</v>
      </c>
      <c r="G11" s="67">
        <f>B11/$A$3+(SysModuleMMP+SysInverterMMP+SysESSMMP+SysSBOSMMP+SysEBOSMMP+SysFieldworkMMP+SysOfficeworkMMP)*ContingencyRate</f>
        <v>226.93706125200003</v>
      </c>
      <c r="H11" s="12">
        <f t="shared" si="1"/>
        <v>226.93706125200003</v>
      </c>
      <c r="I11" s="37"/>
      <c r="J11" s="2" t="s">
        <v>169</v>
      </c>
    </row>
    <row r="12" spans="1:15" ht="18" customHeight="1">
      <c r="A12" s="13" t="s">
        <v>170</v>
      </c>
      <c r="B12" s="6">
        <v>1000000</v>
      </c>
      <c r="C12" s="28" t="s">
        <v>22</v>
      </c>
      <c r="D12" s="66">
        <f>(SysModuleMSP+SysInverterMSP+SysESSMSP+SysSBOSMSP+SysEBOSMSP+SysFieldworkMSP+SysOfficeworkMSP)*OverheadRate</f>
        <v>43.882078263678906</v>
      </c>
      <c r="E12" s="30">
        <v>1</v>
      </c>
      <c r="F12" s="7">
        <f t="shared" si="0"/>
        <v>53.882078263678906</v>
      </c>
      <c r="G12" s="67">
        <f>B12/$A$3+(SysModuleMMP+SysInverterMMP+SysESSMMP+SysSBOSMMP+SysEBOSMMP+SysFieldworkMMP+SysOfficeworkMMP)*OverheadRate</f>
        <v>55.387412250400004</v>
      </c>
      <c r="H12" s="12">
        <f t="shared" si="1"/>
        <v>55.387412250400004</v>
      </c>
      <c r="I12" s="37"/>
      <c r="J12" s="2" t="s">
        <v>171</v>
      </c>
    </row>
    <row r="13" spans="1:15" ht="18" customHeight="1">
      <c r="A13" s="13" t="s">
        <v>107</v>
      </c>
      <c r="B13" s="6"/>
      <c r="C13" s="28" t="s">
        <v>22</v>
      </c>
      <c r="D13" s="66">
        <f>( SysModuleMSP+ SysInverterMSP+ SysESSMSP+ SysSBOSMSP+ SysEBOSMSP+ SysFieldworkMSP+ SysOfficeworkMSP+SUM(F10:F12))* DeveloperProfitMSP</f>
        <v>375.76019396669727</v>
      </c>
      <c r="E13" s="30">
        <v>1</v>
      </c>
      <c r="F13" s="7">
        <f t="shared" si="0"/>
        <v>375.76019396669727</v>
      </c>
      <c r="G13" s="67">
        <f>B13/$A$3+(SysModuleMMP+SysInverterMMP+SysESSMMP+SysSBOSMMP+SysEBOSMMP+SysFieldworkMMP+SysOfficeworkMMP+SUM(H10:H12))*DeveloperProfitMMP</f>
        <v>389.09674426393082</v>
      </c>
      <c r="H13" s="12">
        <f t="shared" si="1"/>
        <v>389.09674426393082</v>
      </c>
      <c r="I13" s="37"/>
      <c r="J13" s="2" t="s">
        <v>172</v>
      </c>
    </row>
    <row r="14" spans="1:15" ht="18" customHeight="1">
      <c r="A14" s="13"/>
      <c r="B14" s="6"/>
      <c r="C14" s="28"/>
      <c r="D14" s="4"/>
      <c r="E14" s="30"/>
      <c r="F14" s="7">
        <f t="shared" si="0"/>
        <v>0</v>
      </c>
      <c r="G14" s="5"/>
      <c r="H14" s="12">
        <f t="shared" si="1"/>
        <v>0</v>
      </c>
      <c r="I14" s="37"/>
      <c r="J14" s="2"/>
    </row>
    <row r="15" spans="1:15" ht="18" customHeight="1">
      <c r="A15" s="13"/>
      <c r="B15" s="6"/>
      <c r="C15" s="28"/>
      <c r="D15" s="4"/>
      <c r="E15" s="30"/>
      <c r="F15" s="7">
        <f t="shared" si="0"/>
        <v>0</v>
      </c>
      <c r="G15" s="5"/>
      <c r="H15" s="12">
        <f t="shared" si="1"/>
        <v>0</v>
      </c>
      <c r="I15" s="37"/>
      <c r="J15" s="2"/>
    </row>
    <row r="16" spans="1:15" ht="18" customHeight="1">
      <c r="A16" s="13"/>
      <c r="B16" s="6"/>
      <c r="C16" s="28"/>
      <c r="D16" s="4"/>
      <c r="E16" s="30"/>
      <c r="F16" s="7">
        <f t="shared" si="0"/>
        <v>0</v>
      </c>
      <c r="G16" s="5"/>
      <c r="H16" s="12">
        <f t="shared" si="1"/>
        <v>0</v>
      </c>
      <c r="I16" s="37"/>
      <c r="J16" s="2"/>
    </row>
    <row r="17" spans="1:10" ht="18" customHeight="1">
      <c r="A17" s="13"/>
      <c r="B17" s="6"/>
      <c r="C17" s="28"/>
      <c r="D17" s="4"/>
      <c r="E17" s="30"/>
      <c r="F17" s="7">
        <f t="shared" si="0"/>
        <v>0</v>
      </c>
      <c r="G17" s="5"/>
      <c r="H17" s="12">
        <f t="shared" si="1"/>
        <v>0</v>
      </c>
      <c r="I17" s="37"/>
      <c r="J17" s="2"/>
    </row>
    <row r="18" spans="1:10" ht="18" customHeight="1">
      <c r="A18" s="13"/>
      <c r="B18" s="6"/>
      <c r="C18" s="28"/>
      <c r="D18" s="4"/>
      <c r="E18" s="30"/>
      <c r="F18" s="7">
        <f t="shared" si="0"/>
        <v>0</v>
      </c>
      <c r="G18" s="5"/>
      <c r="H18" s="12">
        <f t="shared" si="1"/>
        <v>0</v>
      </c>
      <c r="I18" s="37"/>
      <c r="J18" s="2"/>
    </row>
    <row r="19" spans="1:10" ht="18" customHeight="1">
      <c r="A19" s="13"/>
      <c r="B19" s="6"/>
      <c r="C19" s="28"/>
      <c r="D19" s="4"/>
      <c r="E19" s="30"/>
      <c r="F19" s="7">
        <f t="shared" si="0"/>
        <v>0</v>
      </c>
      <c r="G19" s="5"/>
      <c r="H19" s="12">
        <f t="shared" si="1"/>
        <v>0</v>
      </c>
      <c r="I19" s="37"/>
      <c r="J19" s="2"/>
    </row>
    <row r="20" spans="1:10" ht="18" customHeight="1">
      <c r="A20" s="13"/>
      <c r="B20" s="6"/>
      <c r="C20" s="28"/>
      <c r="D20" s="4"/>
      <c r="E20" s="30"/>
      <c r="F20" s="7">
        <f t="shared" si="0"/>
        <v>0</v>
      </c>
      <c r="G20" s="5"/>
      <c r="H20" s="12">
        <f t="shared" si="1"/>
        <v>0</v>
      </c>
      <c r="I20" s="37"/>
      <c r="J20" s="2"/>
    </row>
    <row r="21" spans="1:10" ht="18" customHeight="1">
      <c r="A21" s="13"/>
      <c r="B21" s="6"/>
      <c r="C21" s="28"/>
      <c r="D21" s="4"/>
      <c r="E21" s="30"/>
      <c r="F21" s="7">
        <f t="shared" si="0"/>
        <v>0</v>
      </c>
      <c r="G21" s="5"/>
      <c r="H21" s="12">
        <f t="shared" si="1"/>
        <v>0</v>
      </c>
      <c r="I21" s="37"/>
      <c r="J21" s="2"/>
    </row>
    <row r="22" spans="1:10">
      <c r="A22"/>
      <c r="B22"/>
      <c r="C22"/>
      <c r="D22"/>
      <c r="E22" s="15" t="s">
        <v>62</v>
      </c>
      <c r="F22" s="8">
        <f>SUM(F10:F21)</f>
        <v>684.55479218252299</v>
      </c>
      <c r="G22" s="15" t="s">
        <v>61</v>
      </c>
      <c r="H22" s="8">
        <f>SUM(H10:H21)</f>
        <v>714.06482252306546</v>
      </c>
      <c r="I22"/>
      <c r="J22"/>
    </row>
    <row r="23" spans="1:10">
      <c r="F23" s="11"/>
    </row>
    <row r="24" spans="1:10">
      <c r="A24"/>
      <c r="B24"/>
      <c r="C24"/>
      <c r="D24"/>
      <c r="E24"/>
      <c r="F24"/>
    </row>
    <row r="25" spans="1:10">
      <c r="A25"/>
      <c r="B25"/>
      <c r="C25"/>
      <c r="D25"/>
      <c r="E25"/>
      <c r="F25"/>
    </row>
    <row r="26" spans="1:10">
      <c r="A26"/>
      <c r="B26"/>
      <c r="C26"/>
      <c r="D26"/>
      <c r="E26"/>
      <c r="F26"/>
    </row>
    <row r="27" spans="1:10">
      <c r="A27"/>
      <c r="B27"/>
      <c r="C27"/>
      <c r="D27"/>
      <c r="E27"/>
      <c r="F27"/>
    </row>
    <row r="28" spans="1:10">
      <c r="A28"/>
      <c r="B28"/>
      <c r="C28"/>
      <c r="D28"/>
      <c r="E28"/>
      <c r="F28"/>
    </row>
    <row r="29" spans="1:10">
      <c r="A29"/>
      <c r="B29"/>
      <c r="C29"/>
      <c r="D29"/>
      <c r="E29"/>
      <c r="F29"/>
    </row>
    <row r="30" spans="1:10">
      <c r="A30"/>
      <c r="B30"/>
      <c r="C30"/>
      <c r="D30"/>
      <c r="E30"/>
      <c r="F30"/>
    </row>
    <row r="31" spans="1:10">
      <c r="A31"/>
      <c r="B31"/>
      <c r="C31"/>
      <c r="D31"/>
      <c r="E31"/>
      <c r="F31"/>
    </row>
    <row r="32" spans="1:10">
      <c r="A32"/>
      <c r="B32"/>
      <c r="C32"/>
      <c r="D32"/>
      <c r="E32"/>
      <c r="F32"/>
    </row>
    <row r="33" spans="1:6">
      <c r="A33"/>
      <c r="B33"/>
      <c r="C33"/>
      <c r="D33"/>
      <c r="E33"/>
      <c r="F33"/>
    </row>
    <row r="34" spans="1:6">
      <c r="A34"/>
      <c r="B34"/>
      <c r="C34"/>
      <c r="D34"/>
      <c r="E34"/>
      <c r="F34"/>
    </row>
    <row r="35" spans="1:6">
      <c r="A35"/>
      <c r="B35"/>
      <c r="C35"/>
      <c r="D35"/>
      <c r="E35"/>
      <c r="F35"/>
    </row>
    <row r="36" spans="1:6">
      <c r="A36"/>
      <c r="B36"/>
      <c r="C36"/>
      <c r="D36"/>
      <c r="E36"/>
      <c r="F36"/>
    </row>
    <row r="37" spans="1:6">
      <c r="A37"/>
      <c r="B37"/>
      <c r="C37"/>
      <c r="D37"/>
      <c r="E37"/>
      <c r="F37"/>
    </row>
  </sheetData>
  <sheetProtection algorithmName="SHA-512" hashValue="BZxYv5RIta14pZctuxXafe6dAbQjwYhVHNheelAN1KIPSjUGbNythzMxz+4GAtFN/xozcM1Y8grdXcLndjTcMg==" saltValue="IZTXYu9XjLlFAEdsNHbY+Q==" spinCount="100000" sheet="1" scenarios="1"/>
  <mergeCells count="2">
    <mergeCell ref="A2:B2"/>
    <mergeCell ref="A5:F7"/>
  </mergeCells>
  <conditionalFormatting sqref="B10:B21 D10:D21 G10:G21">
    <cfRule type="expression" dxfId="3" priority="4">
      <formula>_xlfn.ISFORMULA(B10)</formula>
    </cfRule>
  </conditionalFormatting>
  <conditionalFormatting sqref="A3:B3">
    <cfRule type="expression" dxfId="2" priority="1">
      <formula>_xlfn.ISFORMULA(A3)</formula>
    </cfRule>
  </conditionalFormatting>
  <dataValidations count="1">
    <dataValidation type="decimal" operator="greaterThan" allowBlank="1" showInputMessage="1" showErrorMessage="1" sqref="A3" xr:uid="{2073BEB0-43FE-4406-9313-59F9DA0A8248}">
      <formula1>0</formula1>
    </dataValidation>
  </dataValidations>
  <pageMargins left="0.7" right="0.7" top="0.75" bottom="0.75" header="0.3" footer="0.3"/>
  <pageSetup scale="65" orientation="landscape"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15394" r:id="rId4" name="Button 34">
              <controlPr defaultSize="0" print="0" autoFill="0" autoPict="0" macro="[0]!LoadSheet">
                <anchor moveWithCells="1" sizeWithCells="1">
                  <from>
                    <xdr:col>3</xdr:col>
                    <xdr:colOff>69850</xdr:colOff>
                    <xdr:row>2</xdr:row>
                    <xdr:rowOff>25400</xdr:rowOff>
                  </from>
                  <to>
                    <xdr:col>3</xdr:col>
                    <xdr:colOff>831850</xdr:colOff>
                    <xdr:row>2</xdr:row>
                    <xdr:rowOff>222250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88A8CE-8D39-4470-B30A-F226BFA7DD2F}">
  <sheetPr codeName="Sheet11">
    <pageSetUpPr fitToPage="1"/>
  </sheetPr>
  <dimension ref="A1:O23"/>
  <sheetViews>
    <sheetView workbookViewId="0"/>
  </sheetViews>
  <sheetFormatPr defaultColWidth="8.90625" defaultRowHeight="14.5"/>
  <cols>
    <col min="1" max="1" width="15.6328125" style="1" customWidth="1"/>
    <col min="2" max="2" width="12.36328125" style="1" customWidth="1"/>
    <col min="3" max="3" width="11.6328125" style="1" customWidth="1"/>
    <col min="4" max="4" width="12.6328125" style="1" customWidth="1"/>
    <col min="5" max="5" width="12.81640625" style="1" customWidth="1"/>
    <col min="6" max="6" width="13.6328125" style="1" customWidth="1"/>
    <col min="7" max="7" width="15.6328125" style="1" customWidth="1"/>
    <col min="8" max="8" width="13.54296875" style="1" customWidth="1"/>
    <col min="9" max="9" width="4.6328125" style="1" customWidth="1"/>
    <col min="10" max="10" width="78.453125" style="1" customWidth="1"/>
    <col min="11" max="16384" width="8.90625" style="1"/>
  </cols>
  <sheetData>
    <row r="1" spans="1:15" ht="18" customHeight="1">
      <c r="A1" s="14" t="s">
        <v>18</v>
      </c>
      <c r="B1" s="35" t="s">
        <v>32</v>
      </c>
      <c r="C1" s="33"/>
      <c r="D1" s="25"/>
      <c r="E1"/>
      <c r="F1"/>
      <c r="G1"/>
      <c r="H1"/>
      <c r="I1"/>
      <c r="J1"/>
    </row>
    <row r="2" spans="1:15" ht="18" customHeight="1">
      <c r="A2" s="71" t="s">
        <v>6</v>
      </c>
      <c r="B2" s="71"/>
      <c r="C2"/>
      <c r="D2" s="26"/>
      <c r="E2" s="27"/>
      <c r="F2"/>
      <c r="G2"/>
      <c r="H2" s="16"/>
      <c r="I2" t="s">
        <v>9</v>
      </c>
      <c r="J2"/>
    </row>
    <row r="3" spans="1:15" ht="18" customHeight="1">
      <c r="A3" s="62">
        <f>SystemSize</f>
        <v>41.68</v>
      </c>
      <c r="B3" s="17" t="s">
        <v>22</v>
      </c>
      <c r="C3"/>
      <c r="D3"/>
      <c r="E3"/>
      <c r="F3"/>
      <c r="G3"/>
      <c r="H3" s="17"/>
      <c r="I3" t="s">
        <v>10</v>
      </c>
      <c r="J3"/>
    </row>
    <row r="4" spans="1:15" ht="18" customHeight="1">
      <c r="A4"/>
      <c r="B4"/>
      <c r="C4"/>
      <c r="D4"/>
      <c r="E4"/>
      <c r="F4"/>
      <c r="G4"/>
      <c r="H4" s="18"/>
      <c r="I4" t="s">
        <v>43</v>
      </c>
      <c r="J4"/>
    </row>
    <row r="5" spans="1:15" ht="18" customHeight="1">
      <c r="A5" s="70" t="s">
        <v>173</v>
      </c>
      <c r="B5" s="72"/>
      <c r="C5" s="72"/>
      <c r="D5" s="72"/>
      <c r="E5" s="72"/>
      <c r="F5" s="72"/>
      <c r="G5"/>
      <c r="H5" s="19"/>
      <c r="I5" t="s">
        <v>8</v>
      </c>
      <c r="J5"/>
    </row>
    <row r="6" spans="1:15" ht="18" customHeight="1">
      <c r="A6" s="72"/>
      <c r="B6" s="72"/>
      <c r="C6" s="72"/>
      <c r="D6" s="72"/>
      <c r="E6" s="72"/>
      <c r="F6" s="72"/>
      <c r="G6"/>
      <c r="H6"/>
      <c r="I6"/>
      <c r="J6"/>
    </row>
    <row r="7" spans="1:15" ht="18" customHeight="1">
      <c r="A7" s="72"/>
      <c r="B7" s="72"/>
      <c r="C7" s="72"/>
      <c r="D7" s="72"/>
      <c r="E7" s="72"/>
      <c r="F7" s="72"/>
      <c r="G7"/>
      <c r="H7"/>
      <c r="I7"/>
      <c r="J7"/>
    </row>
    <row r="8" spans="1:15" ht="18" customHeight="1">
      <c r="A8" s="20"/>
      <c r="B8"/>
      <c r="C8"/>
      <c r="D8"/>
      <c r="E8"/>
      <c r="F8"/>
      <c r="G8"/>
      <c r="H8"/>
      <c r="I8"/>
      <c r="J8"/>
    </row>
    <row r="9" spans="1:15" s="3" customFormat="1" ht="29.75" customHeight="1">
      <c r="A9" s="21" t="s">
        <v>0</v>
      </c>
      <c r="B9" s="64" t="s">
        <v>16</v>
      </c>
      <c r="C9" s="22" t="s">
        <v>4</v>
      </c>
      <c r="D9" s="64" t="s">
        <v>3</v>
      </c>
      <c r="E9" s="22" t="str">
        <f>CONCATENATE("Intrinsic Units per ",B3,"-yr")</f>
        <v>Intrinsic Units per kWdc-yr</v>
      </c>
      <c r="F9" s="22" t="str">
        <f>CONCATENATE("Cost Element per ",$B$3,"-yr")</f>
        <v>Cost Element per kWdc-yr</v>
      </c>
      <c r="G9" s="64" t="s">
        <v>19</v>
      </c>
      <c r="H9" s="22" t="str">
        <f>CONCATENATE("Price Element per ",$B$3,"-yr")</f>
        <v>Price Element per kWdc-yr</v>
      </c>
      <c r="I9" t="s">
        <v>65</v>
      </c>
      <c r="J9" t="s">
        <v>15</v>
      </c>
      <c r="K9" s="1"/>
      <c r="L9" s="1"/>
      <c r="M9" s="1"/>
      <c r="N9" s="1"/>
      <c r="O9" s="1"/>
    </row>
    <row r="10" spans="1:15" ht="18" customHeight="1">
      <c r="A10" s="13" t="s">
        <v>174</v>
      </c>
      <c r="B10" s="6"/>
      <c r="C10" s="28" t="s">
        <v>175</v>
      </c>
      <c r="D10" s="4">
        <v>0.6</v>
      </c>
      <c r="E10" s="30">
        <f>1/ModuleEfficiency</f>
        <v>5</v>
      </c>
      <c r="F10" s="7">
        <f t="shared" ref="F10:F21" si="0">($B10/$A$3+$E10*$D10)*includerow($I10,IncludeESS,IncludeIndirect)</f>
        <v>3</v>
      </c>
      <c r="G10" s="5"/>
      <c r="H10" s="12">
        <f t="shared" ref="H10:H21" si="1">IF($G10&lt;&gt;0,$G10*$E10*includerow($I10,IncludeESS,IncludeIndirect),($B10/$A$3+$D10*$E10)*includerow($I10,IncludeESS,IncludeIndirect))</f>
        <v>3</v>
      </c>
      <c r="I10" s="37"/>
      <c r="J10" s="2" t="s">
        <v>176</v>
      </c>
    </row>
    <row r="11" spans="1:15" ht="18" customHeight="1">
      <c r="A11" s="13" t="s">
        <v>157</v>
      </c>
      <c r="B11" s="6"/>
      <c r="C11" s="28" t="s">
        <v>175</v>
      </c>
      <c r="D11" s="4">
        <v>0.53890666666666698</v>
      </c>
      <c r="E11" s="30">
        <f>1/ModuleEfficiency</f>
        <v>5</v>
      </c>
      <c r="F11" s="7">
        <f t="shared" si="0"/>
        <v>2.694533333333335</v>
      </c>
      <c r="G11" s="5"/>
      <c r="H11" s="12">
        <f t="shared" si="1"/>
        <v>2.694533333333335</v>
      </c>
      <c r="I11" s="37"/>
      <c r="J11" s="2"/>
    </row>
    <row r="12" spans="1:15" ht="18" customHeight="1">
      <c r="A12" s="13" t="s">
        <v>177</v>
      </c>
      <c r="B12" s="6"/>
      <c r="C12" s="28" t="s">
        <v>91</v>
      </c>
      <c r="D12" s="66">
        <f>SysSBOSMSP</f>
        <v>148.06152334506217</v>
      </c>
      <c r="E12" s="30">
        <f>PartsLossRate/ModuleEfficiency</f>
        <v>0.01</v>
      </c>
      <c r="F12" s="7">
        <f t="shared" si="0"/>
        <v>1.4806152334506217</v>
      </c>
      <c r="G12" s="5"/>
      <c r="H12" s="12">
        <f t="shared" si="1"/>
        <v>1.4806152334506217</v>
      </c>
      <c r="I12" s="37"/>
      <c r="J12" s="2" t="s">
        <v>178</v>
      </c>
    </row>
    <row r="13" spans="1:15" ht="18" customHeight="1">
      <c r="A13" s="13" t="s">
        <v>179</v>
      </c>
      <c r="B13" s="6"/>
      <c r="C13" s="28" t="s">
        <v>22</v>
      </c>
      <c r="D13" s="66">
        <f>SysModuleMSP</f>
        <v>234.70117925046463</v>
      </c>
      <c r="E13" s="30">
        <f>ModuleLossRate</f>
        <v>1E-3</v>
      </c>
      <c r="F13" s="7">
        <f t="shared" si="0"/>
        <v>0.23470117925046463</v>
      </c>
      <c r="G13" s="5"/>
      <c r="H13" s="12">
        <f t="shared" si="1"/>
        <v>0.23470117925046463</v>
      </c>
      <c r="I13" s="37"/>
      <c r="J13" s="2" t="s">
        <v>180</v>
      </c>
    </row>
    <row r="14" spans="1:15" ht="18" customHeight="1">
      <c r="A14" s="13" t="s">
        <v>181</v>
      </c>
      <c r="B14" s="6"/>
      <c r="C14" s="28" t="s">
        <v>74</v>
      </c>
      <c r="D14" s="66">
        <f>SysInverterMSP</f>
        <v>46.131284671532846</v>
      </c>
      <c r="E14" s="30">
        <f>InverterLossRate/ILR</f>
        <v>6.5693430656934296E-2</v>
      </c>
      <c r="F14" s="7">
        <f t="shared" si="0"/>
        <v>3.030522350684639</v>
      </c>
      <c r="G14" s="4"/>
      <c r="H14" s="12">
        <f t="shared" si="1"/>
        <v>3.030522350684639</v>
      </c>
      <c r="I14" s="37"/>
      <c r="J14" s="2" t="s">
        <v>182</v>
      </c>
    </row>
    <row r="15" spans="1:15" ht="18" customHeight="1">
      <c r="A15" s="13" t="s">
        <v>183</v>
      </c>
      <c r="B15" s="6"/>
      <c r="C15" s="28" t="s">
        <v>73</v>
      </c>
      <c r="D15" s="66">
        <f>SysESSMSP</f>
        <v>0</v>
      </c>
      <c r="E15" s="30">
        <f>IncludeESS*StorageDuration*ESSLossRate</f>
        <v>0</v>
      </c>
      <c r="F15" s="7">
        <f t="shared" si="0"/>
        <v>0</v>
      </c>
      <c r="G15" s="4"/>
      <c r="H15" s="12">
        <f t="shared" si="1"/>
        <v>0</v>
      </c>
      <c r="I15" s="37" t="s">
        <v>79</v>
      </c>
      <c r="J15" s="2" t="s">
        <v>184</v>
      </c>
    </row>
    <row r="16" spans="1:15" ht="18" customHeight="1">
      <c r="A16" s="13" t="s">
        <v>185</v>
      </c>
      <c r="B16" s="6"/>
      <c r="C16" s="28" t="s">
        <v>186</v>
      </c>
      <c r="D16" s="4">
        <v>1500.6</v>
      </c>
      <c r="E16" s="30">
        <f>IncludeIndirect/(ModuleEfficiency*LandArea)</f>
        <v>1.6666666666666668E-3</v>
      </c>
      <c r="F16" s="7">
        <f t="shared" si="0"/>
        <v>2.5009999999999999</v>
      </c>
      <c r="G16" s="4"/>
      <c r="H16" s="12">
        <f t="shared" si="1"/>
        <v>2.5009999999999999</v>
      </c>
      <c r="I16" s="37" t="s">
        <v>83</v>
      </c>
      <c r="J16" s="2"/>
    </row>
    <row r="17" spans="1:10" ht="18" customHeight="1">
      <c r="A17" s="13" t="s">
        <v>187</v>
      </c>
      <c r="B17" s="6"/>
      <c r="C17" s="28" t="s">
        <v>188</v>
      </c>
      <c r="D17" s="66">
        <f>SystemMSP*PropertyTaxRate</f>
        <v>10.145525237100827</v>
      </c>
      <c r="E17" s="30">
        <f>IncludeIndirect*1</f>
        <v>1</v>
      </c>
      <c r="F17" s="7">
        <f t="shared" si="0"/>
        <v>10.145525237100827</v>
      </c>
      <c r="G17" s="4"/>
      <c r="H17" s="12">
        <f t="shared" si="1"/>
        <v>10.145525237100827</v>
      </c>
      <c r="I17" s="37" t="s">
        <v>83</v>
      </c>
      <c r="J17" s="2" t="s">
        <v>189</v>
      </c>
    </row>
    <row r="18" spans="1:10" ht="18" customHeight="1">
      <c r="A18" s="13" t="s">
        <v>190</v>
      </c>
      <c r="B18" s="6"/>
      <c r="C18" s="29" t="s">
        <v>188</v>
      </c>
      <c r="D18" s="66">
        <f>SystemMSP*InsuranceRate</f>
        <v>12.681906546376034</v>
      </c>
      <c r="E18" s="30">
        <f>IncludeIndirect*1</f>
        <v>1</v>
      </c>
      <c r="F18" s="7">
        <f t="shared" si="0"/>
        <v>12.681906546376034</v>
      </c>
      <c r="G18" s="4"/>
      <c r="H18" s="12">
        <f t="shared" si="1"/>
        <v>12.681906546376034</v>
      </c>
      <c r="I18" s="37" t="s">
        <v>83</v>
      </c>
      <c r="J18" s="2" t="s">
        <v>305</v>
      </c>
    </row>
    <row r="19" spans="1:10" ht="18" customHeight="1">
      <c r="A19" s="13" t="s">
        <v>170</v>
      </c>
      <c r="B19" s="6">
        <v>8853.3033333333296</v>
      </c>
      <c r="C19" s="29"/>
      <c r="D19" s="4"/>
      <c r="E19" s="30"/>
      <c r="F19" s="7">
        <f t="shared" si="0"/>
        <v>212.41130838131789</v>
      </c>
      <c r="G19" s="4"/>
      <c r="H19" s="12">
        <f t="shared" si="1"/>
        <v>212.41130838131789</v>
      </c>
      <c r="I19" s="37" t="s">
        <v>83</v>
      </c>
      <c r="J19" s="2" t="s">
        <v>306</v>
      </c>
    </row>
    <row r="20" spans="1:10" ht="18" customHeight="1">
      <c r="A20" s="13"/>
      <c r="B20" s="6"/>
      <c r="C20" s="29"/>
      <c r="D20" s="4"/>
      <c r="E20" s="30"/>
      <c r="F20" s="7">
        <f t="shared" si="0"/>
        <v>0</v>
      </c>
      <c r="G20" s="4"/>
      <c r="H20" s="12">
        <f t="shared" si="1"/>
        <v>0</v>
      </c>
      <c r="I20" s="37"/>
      <c r="J20" s="2"/>
    </row>
    <row r="21" spans="1:10" ht="18" customHeight="1">
      <c r="A21" s="13"/>
      <c r="B21" s="6"/>
      <c r="C21" s="29"/>
      <c r="D21" s="4"/>
      <c r="E21" s="30"/>
      <c r="F21" s="7">
        <f t="shared" si="0"/>
        <v>0</v>
      </c>
      <c r="G21" s="4"/>
      <c r="H21" s="12">
        <f t="shared" si="1"/>
        <v>0</v>
      </c>
      <c r="I21" s="37"/>
      <c r="J21" s="2"/>
    </row>
    <row r="22" spans="1:10">
      <c r="A22"/>
      <c r="B22"/>
      <c r="C22"/>
      <c r="D22"/>
      <c r="E22" s="15" t="s">
        <v>62</v>
      </c>
      <c r="F22" s="8">
        <f>SUM(F10:F21)</f>
        <v>248.18011226151381</v>
      </c>
      <c r="G22" s="15" t="s">
        <v>61</v>
      </c>
      <c r="H22" s="8">
        <f>SUM(H10:H21)</f>
        <v>248.18011226151381</v>
      </c>
      <c r="I22"/>
      <c r="J22"/>
    </row>
    <row r="23" spans="1:10">
      <c r="F23" s="11"/>
    </row>
  </sheetData>
  <sheetProtection algorithmName="SHA-512" hashValue="512Vq7acgJ9NwgX9rB9XL3F5i7bk8/rCDXBe69zPrEMjMEccc+1cRQ9df+/+Bj0yx6/KtHZAcB0CYNnoJGA8vA==" saltValue="FYpdtADm6+VIuoDb28SPjA==" spinCount="100000" sheet="1" scenarios="1"/>
  <mergeCells count="2">
    <mergeCell ref="A2:B2"/>
    <mergeCell ref="A5:F7"/>
  </mergeCells>
  <conditionalFormatting sqref="B10:B21 D10:D21 G10:G21">
    <cfRule type="expression" dxfId="1" priority="2">
      <formula>_xlfn.ISFORMULA(B10)</formula>
    </cfRule>
  </conditionalFormatting>
  <conditionalFormatting sqref="A3:B3">
    <cfRule type="expression" dxfId="0" priority="1">
      <formula>_xlfn.ISFORMULA(A3)</formula>
    </cfRule>
  </conditionalFormatting>
  <dataValidations count="1">
    <dataValidation type="decimal" operator="greaterThan" allowBlank="1" showInputMessage="1" showErrorMessage="1" sqref="A3" xr:uid="{6EE07444-9F74-40BC-BBA3-AC677A119818}">
      <formula1>0</formula1>
    </dataValidation>
  </dataValidations>
  <pageMargins left="0.7" right="0.7" top="0.75" bottom="0.75" header="0.3" footer="0.3"/>
  <pageSetup scale="72" orientation="landscape"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32769" r:id="rId4" name="Button 1">
              <controlPr defaultSize="0" print="0" autoFill="0" autoPict="0" macro="[0]!LoadSheet">
                <anchor moveWithCells="1" sizeWithCells="1">
                  <from>
                    <xdr:col>3</xdr:col>
                    <xdr:colOff>69850</xdr:colOff>
                    <xdr:row>2</xdr:row>
                    <xdr:rowOff>25400</xdr:rowOff>
                  </from>
                  <to>
                    <xdr:col>3</xdr:col>
                    <xdr:colOff>831850</xdr:colOff>
                    <xdr:row>2</xdr:row>
                    <xdr:rowOff>222250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6BFCCC-45B5-4694-9867-9965459C1F98}">
  <sheetPr codeName="Sheet2">
    <pageSetUpPr fitToPage="1"/>
  </sheetPr>
  <dimension ref="A1:H103"/>
  <sheetViews>
    <sheetView topLeftCell="A40" workbookViewId="0">
      <selection activeCell="H30" sqref="H30"/>
    </sheetView>
  </sheetViews>
  <sheetFormatPr defaultColWidth="8.90625" defaultRowHeight="14.5"/>
  <cols>
    <col min="1" max="1" width="10.54296875" style="1" customWidth="1"/>
    <col min="2" max="2" width="18.1796875" style="1" customWidth="1"/>
    <col min="3" max="3" width="12.08984375" style="1" customWidth="1"/>
    <col min="4" max="4" width="14.6328125" style="1" customWidth="1"/>
    <col min="5" max="5" width="1.453125" style="1" customWidth="1"/>
    <col min="6" max="6" width="14.6328125" style="1" customWidth="1"/>
    <col min="7" max="7" width="4.6328125" style="1" customWidth="1"/>
    <col min="8" max="8" width="80.36328125" style="1" customWidth="1"/>
    <col min="9" max="11" width="8.90625" style="1" customWidth="1"/>
    <col min="12" max="16" width="8.81640625" style="1" customWidth="1"/>
    <col min="17" max="16384" width="8.90625" style="1"/>
  </cols>
  <sheetData>
    <row r="1" spans="1:8">
      <c r="A1" s="14" t="s">
        <v>14</v>
      </c>
      <c r="B1" s="36" t="s">
        <v>21</v>
      </c>
      <c r="C1" s="36"/>
      <c r="D1"/>
      <c r="E1"/>
      <c r="F1" s="60" t="s">
        <v>75</v>
      </c>
      <c r="G1"/>
      <c r="H1" s="36" t="s">
        <v>54</v>
      </c>
    </row>
    <row r="2" spans="1:8">
      <c r="A2" s="36" t="s">
        <v>53</v>
      </c>
      <c r="B2"/>
      <c r="C2"/>
      <c r="D2"/>
      <c r="E2"/>
      <c r="F2" s="54" t="b">
        <v>1</v>
      </c>
      <c r="G2"/>
      <c r="H2"/>
    </row>
    <row r="3" spans="1:8">
      <c r="A3" s="55" t="s">
        <v>38</v>
      </c>
      <c r="B3" s="56" t="s">
        <v>39</v>
      </c>
      <c r="C3" s="57" t="s">
        <v>63</v>
      </c>
      <c r="D3" s="73" t="s">
        <v>64</v>
      </c>
      <c r="E3" s="73"/>
      <c r="F3" s="74"/>
      <c r="G3" t="s">
        <v>65</v>
      </c>
      <c r="H3" t="s">
        <v>15</v>
      </c>
    </row>
    <row r="4" spans="1:8">
      <c r="A4" s="13" t="s">
        <v>7</v>
      </c>
      <c r="B4" s="13" t="s">
        <v>191</v>
      </c>
      <c r="C4" s="2">
        <v>1.37</v>
      </c>
      <c r="D4" s="37" t="s">
        <v>193</v>
      </c>
      <c r="E4" s="59" t="str">
        <f>IF(A4&lt;&gt;"","/","")</f>
        <v>/</v>
      </c>
      <c r="F4" s="37" t="s">
        <v>192</v>
      </c>
      <c r="G4" s="58"/>
      <c r="H4" s="2" t="s">
        <v>307</v>
      </c>
    </row>
    <row r="5" spans="1:8">
      <c r="A5" s="13" t="s">
        <v>7</v>
      </c>
      <c r="B5" s="13" t="s">
        <v>194</v>
      </c>
      <c r="C5" s="2">
        <v>2</v>
      </c>
      <c r="D5" s="37" t="s">
        <v>73</v>
      </c>
      <c r="E5" s="59" t="str">
        <f t="shared" ref="E5:E16" si="0">IF(A5&lt;&gt;"","/","")</f>
        <v>/</v>
      </c>
      <c r="F5" s="37" t="s">
        <v>193</v>
      </c>
      <c r="G5" s="58"/>
      <c r="H5" s="2" t="s">
        <v>308</v>
      </c>
    </row>
    <row r="6" spans="1:8">
      <c r="A6" s="13" t="s">
        <v>7</v>
      </c>
      <c r="B6" s="13" t="s">
        <v>195</v>
      </c>
      <c r="C6" s="2">
        <v>0.14249999999999999</v>
      </c>
      <c r="D6" s="37" t="s">
        <v>197</v>
      </c>
      <c r="E6" s="59" t="str">
        <f t="shared" si="0"/>
        <v>/</v>
      </c>
      <c r="F6" s="37" t="s">
        <v>196</v>
      </c>
      <c r="G6" s="58"/>
      <c r="H6" s="2"/>
    </row>
    <row r="7" spans="1:8">
      <c r="A7" s="13" t="s">
        <v>7</v>
      </c>
      <c r="B7" s="13" t="s">
        <v>198</v>
      </c>
      <c r="C7" s="2">
        <v>0.25</v>
      </c>
      <c r="D7" s="37" t="s">
        <v>197</v>
      </c>
      <c r="E7" s="59" t="str">
        <f t="shared" si="0"/>
        <v>/</v>
      </c>
      <c r="F7" s="37" t="s">
        <v>196</v>
      </c>
      <c r="G7" s="58"/>
      <c r="H7" s="2"/>
    </row>
    <row r="8" spans="1:8">
      <c r="A8" s="13" t="s">
        <v>7</v>
      </c>
      <c r="B8" s="13" t="s">
        <v>199</v>
      </c>
      <c r="C8" s="2">
        <v>0.5</v>
      </c>
      <c r="D8" s="37" t="s">
        <v>197</v>
      </c>
      <c r="E8" s="59" t="str">
        <f t="shared" si="0"/>
        <v>/</v>
      </c>
      <c r="F8" s="37" t="s">
        <v>196</v>
      </c>
      <c r="G8" s="58"/>
      <c r="H8" s="2"/>
    </row>
    <row r="9" spans="1:8">
      <c r="A9" s="13" t="s">
        <v>1</v>
      </c>
      <c r="B9" s="13" t="s">
        <v>200</v>
      </c>
      <c r="C9" s="2">
        <v>0.2</v>
      </c>
      <c r="D9" s="37" t="s">
        <v>193</v>
      </c>
      <c r="E9" s="59" t="str">
        <f t="shared" si="0"/>
        <v>/</v>
      </c>
      <c r="F9" s="37" t="s">
        <v>201</v>
      </c>
      <c r="G9" s="58"/>
      <c r="H9" s="2"/>
    </row>
    <row r="10" spans="1:8">
      <c r="A10" s="13" t="s">
        <v>1</v>
      </c>
      <c r="B10" s="13" t="s">
        <v>202</v>
      </c>
      <c r="C10" s="2">
        <v>3.617</v>
      </c>
      <c r="D10" s="37" t="s">
        <v>89</v>
      </c>
      <c r="E10" s="59" t="str">
        <f t="shared" si="0"/>
        <v>/</v>
      </c>
      <c r="F10" s="37"/>
      <c r="G10" s="58"/>
      <c r="H10" s="2"/>
    </row>
    <row r="11" spans="1:8">
      <c r="A11" s="13" t="s">
        <v>1</v>
      </c>
      <c r="B11" s="13" t="s">
        <v>203</v>
      </c>
      <c r="C11" s="2">
        <v>1.528</v>
      </c>
      <c r="D11" s="37" t="s">
        <v>89</v>
      </c>
      <c r="E11" s="59" t="str">
        <f t="shared" si="0"/>
        <v>/</v>
      </c>
      <c r="F11" s="37"/>
      <c r="G11" s="58"/>
      <c r="H11" s="2"/>
    </row>
    <row r="12" spans="1:8">
      <c r="A12" s="13" t="s">
        <v>1</v>
      </c>
      <c r="B12" s="13" t="s">
        <v>204</v>
      </c>
      <c r="C12" s="2">
        <v>11.5</v>
      </c>
      <c r="D12" s="37" t="s">
        <v>205</v>
      </c>
      <c r="E12" s="59" t="str">
        <f t="shared" si="0"/>
        <v>/</v>
      </c>
      <c r="F12" s="37" t="s">
        <v>201</v>
      </c>
      <c r="G12" s="58"/>
      <c r="H12" s="2"/>
    </row>
    <row r="13" spans="1:8">
      <c r="A13" s="13" t="s">
        <v>1</v>
      </c>
      <c r="B13" s="13" t="s">
        <v>206</v>
      </c>
      <c r="C13" s="2">
        <v>0.98</v>
      </c>
      <c r="D13" s="37" t="s">
        <v>193</v>
      </c>
      <c r="E13" s="59" t="str">
        <f t="shared" si="0"/>
        <v>/</v>
      </c>
      <c r="F13" s="37" t="s">
        <v>207</v>
      </c>
      <c r="G13" s="58"/>
      <c r="H13" s="2"/>
    </row>
    <row r="14" spans="1:8">
      <c r="A14" s="13" t="s">
        <v>1</v>
      </c>
      <c r="B14" s="13" t="s">
        <v>208</v>
      </c>
      <c r="C14" s="2">
        <v>0.109</v>
      </c>
      <c r="D14" s="38" t="s">
        <v>209</v>
      </c>
      <c r="E14" s="59" t="str">
        <f t="shared" si="0"/>
        <v>/</v>
      </c>
      <c r="F14" s="38" t="s">
        <v>201</v>
      </c>
      <c r="G14" s="58"/>
      <c r="H14" s="2"/>
    </row>
    <row r="15" spans="1:8">
      <c r="A15" s="13" t="s">
        <v>1</v>
      </c>
      <c r="B15" s="13" t="s">
        <v>210</v>
      </c>
      <c r="C15" s="2">
        <v>5.79</v>
      </c>
      <c r="D15" s="37" t="s">
        <v>211</v>
      </c>
      <c r="E15" s="59" t="str">
        <f t="shared" si="0"/>
        <v>/</v>
      </c>
      <c r="F15" s="37" t="s">
        <v>201</v>
      </c>
      <c r="G15" s="58"/>
      <c r="H15" s="2"/>
    </row>
    <row r="16" spans="1:8">
      <c r="A16" s="13" t="s">
        <v>1</v>
      </c>
      <c r="B16" s="13" t="s">
        <v>212</v>
      </c>
      <c r="C16" s="2">
        <v>0.11799999999999999</v>
      </c>
      <c r="D16" s="37" t="s">
        <v>214</v>
      </c>
      <c r="E16" s="59" t="str">
        <f t="shared" si="0"/>
        <v>/</v>
      </c>
      <c r="F16" s="37" t="s">
        <v>213</v>
      </c>
      <c r="G16" s="58"/>
      <c r="H16" s="2" t="s">
        <v>215</v>
      </c>
    </row>
    <row r="17" spans="1:8">
      <c r="A17" s="13" t="s">
        <v>1</v>
      </c>
      <c r="B17" s="13" t="s">
        <v>216</v>
      </c>
      <c r="C17" s="2">
        <v>0.15</v>
      </c>
      <c r="D17" s="37" t="s">
        <v>217</v>
      </c>
      <c r="E17" s="59" t="str">
        <f t="shared" ref="E17:E80" si="1">IF(A17&lt;&gt;"","/","")</f>
        <v>/</v>
      </c>
      <c r="F17" s="37" t="s">
        <v>196</v>
      </c>
      <c r="G17" s="58"/>
      <c r="H17" s="2" t="s">
        <v>309</v>
      </c>
    </row>
    <row r="18" spans="1:8">
      <c r="A18" s="13" t="s">
        <v>1</v>
      </c>
      <c r="B18" s="13" t="s">
        <v>218</v>
      </c>
      <c r="C18" s="2">
        <v>336</v>
      </c>
      <c r="D18" s="37" t="s">
        <v>219</v>
      </c>
      <c r="E18" s="59" t="str">
        <f t="shared" ref="E18:E60" si="2">IF(A18&lt;&gt;"","/","")</f>
        <v>/</v>
      </c>
      <c r="F18" s="37" t="s">
        <v>22</v>
      </c>
      <c r="G18" s="58"/>
      <c r="H18" s="2" t="s">
        <v>310</v>
      </c>
    </row>
    <row r="19" spans="1:8">
      <c r="A19" s="13" t="s">
        <v>2</v>
      </c>
      <c r="B19" s="13" t="s">
        <v>220</v>
      </c>
      <c r="C19" s="2">
        <v>0.78900000000000003</v>
      </c>
      <c r="D19" s="37" t="s">
        <v>221</v>
      </c>
      <c r="E19" s="59" t="str">
        <f t="shared" si="2"/>
        <v>/</v>
      </c>
      <c r="F19" s="37" t="s">
        <v>192</v>
      </c>
      <c r="G19" s="58"/>
      <c r="H19" s="2"/>
    </row>
    <row r="20" spans="1:8">
      <c r="A20" s="13" t="s">
        <v>2</v>
      </c>
      <c r="B20" s="13" t="s">
        <v>222</v>
      </c>
      <c r="C20" s="2">
        <v>4.4999999999999998E-2</v>
      </c>
      <c r="D20" s="37" t="s">
        <v>209</v>
      </c>
      <c r="E20" s="59" t="str">
        <f t="shared" si="2"/>
        <v>/</v>
      </c>
      <c r="F20" s="37" t="s">
        <v>192</v>
      </c>
      <c r="G20" s="58"/>
      <c r="H20" s="2"/>
    </row>
    <row r="21" spans="1:8">
      <c r="A21" s="13" t="s">
        <v>2</v>
      </c>
      <c r="B21" s="13" t="s">
        <v>223</v>
      </c>
      <c r="C21" s="2">
        <v>8.42</v>
      </c>
      <c r="D21" s="37" t="s">
        <v>211</v>
      </c>
      <c r="E21" s="59" t="str">
        <f t="shared" si="2"/>
        <v>/</v>
      </c>
      <c r="F21" s="37" t="s">
        <v>192</v>
      </c>
      <c r="G21" s="58"/>
      <c r="H21" s="2"/>
    </row>
    <row r="22" spans="1:8">
      <c r="A22" s="13" t="s">
        <v>2</v>
      </c>
      <c r="B22" s="13" t="s">
        <v>224</v>
      </c>
      <c r="C22" s="2">
        <v>0.125</v>
      </c>
      <c r="D22" s="37" t="s">
        <v>214</v>
      </c>
      <c r="E22" s="59" t="str">
        <f t="shared" si="2"/>
        <v>/</v>
      </c>
      <c r="F22" s="37" t="s">
        <v>213</v>
      </c>
      <c r="G22" s="58"/>
      <c r="H22" s="2" t="s">
        <v>225</v>
      </c>
    </row>
    <row r="23" spans="1:8">
      <c r="A23" s="13" t="s">
        <v>2</v>
      </c>
      <c r="B23" s="13" t="s">
        <v>226</v>
      </c>
      <c r="C23" s="2">
        <v>0.15</v>
      </c>
      <c r="D23" s="37" t="s">
        <v>217</v>
      </c>
      <c r="E23" s="59" t="str">
        <f t="shared" si="2"/>
        <v>/</v>
      </c>
      <c r="F23" s="37" t="s">
        <v>196</v>
      </c>
      <c r="G23" s="58"/>
      <c r="H23" s="2" t="s">
        <v>311</v>
      </c>
    </row>
    <row r="24" spans="1:8">
      <c r="A24" s="13" t="s">
        <v>2</v>
      </c>
      <c r="B24" s="13" t="s">
        <v>227</v>
      </c>
      <c r="C24" s="2">
        <v>75</v>
      </c>
      <c r="D24" s="37" t="s">
        <v>219</v>
      </c>
      <c r="E24" s="59" t="str">
        <f t="shared" ref="E24:E55" si="3">IF(A24&lt;&gt;"","/","")</f>
        <v>/</v>
      </c>
      <c r="F24" s="37" t="s">
        <v>74</v>
      </c>
      <c r="G24" s="58"/>
      <c r="H24" s="2" t="s">
        <v>310</v>
      </c>
    </row>
    <row r="25" spans="1:8">
      <c r="A25" s="13" t="s">
        <v>17</v>
      </c>
      <c r="B25" s="13" t="s">
        <v>244</v>
      </c>
      <c r="C25" s="2">
        <v>0.2</v>
      </c>
      <c r="D25" s="37" t="s">
        <v>312</v>
      </c>
      <c r="E25" s="59" t="str">
        <f t="shared" si="3"/>
        <v>/</v>
      </c>
      <c r="F25" s="37" t="s">
        <v>201</v>
      </c>
      <c r="G25" s="58"/>
      <c r="H25" s="2"/>
    </row>
    <row r="26" spans="1:8">
      <c r="A26" s="13" t="s">
        <v>17</v>
      </c>
      <c r="B26" s="13" t="s">
        <v>245</v>
      </c>
      <c r="C26" s="2">
        <v>5.9</v>
      </c>
      <c r="D26" s="37" t="s">
        <v>243</v>
      </c>
      <c r="E26" s="59" t="str">
        <f t="shared" si="3"/>
        <v>/</v>
      </c>
      <c r="F26" s="37" t="s">
        <v>201</v>
      </c>
      <c r="G26" s="58"/>
      <c r="H26" s="2"/>
    </row>
    <row r="27" spans="1:8">
      <c r="A27" s="13" t="s">
        <v>17</v>
      </c>
      <c r="B27" s="13" t="s">
        <v>246</v>
      </c>
      <c r="C27" s="2">
        <v>10</v>
      </c>
      <c r="D27" s="37" t="s">
        <v>313</v>
      </c>
      <c r="E27" s="59" t="str">
        <f t="shared" si="3"/>
        <v>/</v>
      </c>
      <c r="F27" s="37" t="s">
        <v>201</v>
      </c>
      <c r="G27" s="58"/>
      <c r="H27" s="2"/>
    </row>
    <row r="28" spans="1:8">
      <c r="A28" s="13" t="s">
        <v>17</v>
      </c>
      <c r="B28" s="13" t="s">
        <v>247</v>
      </c>
      <c r="C28" s="2">
        <v>11</v>
      </c>
      <c r="D28" s="37" t="s">
        <v>248</v>
      </c>
      <c r="E28" s="59" t="str">
        <f t="shared" si="3"/>
        <v>/</v>
      </c>
      <c r="F28" s="37" t="s">
        <v>141</v>
      </c>
      <c r="G28" s="58"/>
      <c r="H28" s="2"/>
    </row>
    <row r="29" spans="1:8">
      <c r="A29" s="13" t="s">
        <v>17</v>
      </c>
      <c r="B29" s="13" t="s">
        <v>249</v>
      </c>
      <c r="C29" s="2">
        <v>86.3</v>
      </c>
      <c r="D29" s="37" t="s">
        <v>89</v>
      </c>
      <c r="E29" s="59" t="str">
        <f t="shared" si="3"/>
        <v>/</v>
      </c>
      <c r="F29" s="37"/>
      <c r="G29" s="58"/>
      <c r="H29" s="2"/>
    </row>
    <row r="30" spans="1:8">
      <c r="A30" s="13" t="s">
        <v>20</v>
      </c>
      <c r="B30" s="13" t="s">
        <v>250</v>
      </c>
      <c r="C30" s="2">
        <v>2</v>
      </c>
      <c r="D30" s="37" t="s">
        <v>251</v>
      </c>
      <c r="E30" s="59" t="str">
        <f t="shared" si="3"/>
        <v>/</v>
      </c>
      <c r="F30" s="37" t="s">
        <v>192</v>
      </c>
      <c r="G30" s="58"/>
      <c r="H30" s="2"/>
    </row>
    <row r="31" spans="1:8">
      <c r="A31" s="13" t="s">
        <v>23</v>
      </c>
      <c r="B31" s="13" t="s">
        <v>228</v>
      </c>
      <c r="C31" s="2">
        <v>10</v>
      </c>
      <c r="D31" s="37" t="s">
        <v>229</v>
      </c>
      <c r="E31" s="59" t="str">
        <f t="shared" si="3"/>
        <v>/</v>
      </c>
      <c r="F31" s="37" t="s">
        <v>73</v>
      </c>
      <c r="G31" s="58"/>
      <c r="H31" s="2" t="s">
        <v>230</v>
      </c>
    </row>
    <row r="32" spans="1:8">
      <c r="A32" s="13" t="s">
        <v>23</v>
      </c>
      <c r="B32" s="13" t="s">
        <v>231</v>
      </c>
      <c r="C32" s="2">
        <v>4</v>
      </c>
      <c r="D32" s="37" t="s">
        <v>73</v>
      </c>
      <c r="E32" s="59" t="str">
        <f t="shared" si="3"/>
        <v>/</v>
      </c>
      <c r="F32" s="37" t="s">
        <v>232</v>
      </c>
      <c r="G32" s="58"/>
      <c r="H32" s="2" t="s">
        <v>314</v>
      </c>
    </row>
    <row r="33" spans="1:8">
      <c r="A33" s="13" t="s">
        <v>23</v>
      </c>
      <c r="B33" s="13" t="s">
        <v>233</v>
      </c>
      <c r="C33" s="2">
        <v>1</v>
      </c>
      <c r="D33" s="37" t="s">
        <v>234</v>
      </c>
      <c r="E33" s="59" t="str">
        <f t="shared" ref="E33:E51" si="4">IF(A33&lt;&gt;"","/","")</f>
        <v>/</v>
      </c>
      <c r="F33" s="37" t="s">
        <v>232</v>
      </c>
      <c r="G33" s="58"/>
      <c r="H33" s="2" t="s">
        <v>315</v>
      </c>
    </row>
    <row r="34" spans="1:8">
      <c r="A34" s="13" t="s">
        <v>23</v>
      </c>
      <c r="B34" s="13" t="s">
        <v>235</v>
      </c>
      <c r="C34" s="2">
        <v>9.4</v>
      </c>
      <c r="D34" s="37" t="s">
        <v>236</v>
      </c>
      <c r="E34" s="59" t="str">
        <f t="shared" si="4"/>
        <v>/</v>
      </c>
      <c r="F34" s="37" t="s">
        <v>73</v>
      </c>
      <c r="G34" s="58"/>
      <c r="H34" s="2"/>
    </row>
    <row r="35" spans="1:8">
      <c r="A35" s="13" t="s">
        <v>23</v>
      </c>
      <c r="B35" s="13" t="s">
        <v>237</v>
      </c>
      <c r="C35" s="2">
        <v>0.22</v>
      </c>
      <c r="D35" s="37" t="s">
        <v>209</v>
      </c>
      <c r="E35" s="59" t="str">
        <f t="shared" si="4"/>
        <v>/</v>
      </c>
      <c r="F35" s="37" t="s">
        <v>73</v>
      </c>
      <c r="G35" s="58"/>
      <c r="H35" s="2"/>
    </row>
    <row r="36" spans="1:8">
      <c r="A36" s="13" t="s">
        <v>23</v>
      </c>
      <c r="B36" s="13" t="s">
        <v>238</v>
      </c>
      <c r="C36" s="2">
        <v>30.5</v>
      </c>
      <c r="D36" s="37" t="s">
        <v>211</v>
      </c>
      <c r="E36" s="59" t="str">
        <f t="shared" si="4"/>
        <v>/</v>
      </c>
      <c r="F36" s="37" t="s">
        <v>73</v>
      </c>
      <c r="G36" s="58"/>
      <c r="H36" s="2"/>
    </row>
    <row r="37" spans="1:8">
      <c r="A37" s="13" t="s">
        <v>23</v>
      </c>
      <c r="B37" s="13" t="s">
        <v>239</v>
      </c>
      <c r="C37" s="2">
        <v>0.11</v>
      </c>
      <c r="D37" s="37" t="s">
        <v>214</v>
      </c>
      <c r="E37" s="59" t="str">
        <f t="shared" si="4"/>
        <v>/</v>
      </c>
      <c r="F37" s="37" t="s">
        <v>213</v>
      </c>
      <c r="G37" s="58"/>
      <c r="H37" s="2" t="s">
        <v>240</v>
      </c>
    </row>
    <row r="38" spans="1:8">
      <c r="A38" s="13" t="s">
        <v>23</v>
      </c>
      <c r="B38" s="13" t="s">
        <v>241</v>
      </c>
      <c r="C38" s="2">
        <v>0.25</v>
      </c>
      <c r="D38" s="37" t="s">
        <v>217</v>
      </c>
      <c r="E38" s="59" t="str">
        <f t="shared" si="4"/>
        <v>/</v>
      </c>
      <c r="F38" s="37" t="s">
        <v>196</v>
      </c>
      <c r="G38" s="58"/>
      <c r="H38" s="2" t="s">
        <v>316</v>
      </c>
    </row>
    <row r="39" spans="1:8">
      <c r="A39" s="13" t="s">
        <v>23</v>
      </c>
      <c r="B39" s="13" t="s">
        <v>242</v>
      </c>
      <c r="C39" s="2">
        <v>228</v>
      </c>
      <c r="D39" s="37" t="s">
        <v>219</v>
      </c>
      <c r="E39" s="59" t="str">
        <f t="shared" si="4"/>
        <v>/</v>
      </c>
      <c r="F39" s="37" t="s">
        <v>73</v>
      </c>
      <c r="G39" s="58"/>
      <c r="H39" s="2" t="s">
        <v>310</v>
      </c>
    </row>
    <row r="40" spans="1:8">
      <c r="A40" s="13" t="s">
        <v>40</v>
      </c>
      <c r="B40" s="13" t="s">
        <v>252</v>
      </c>
      <c r="C40" s="2">
        <v>0.55000000000000004</v>
      </c>
      <c r="D40" s="37" t="s">
        <v>209</v>
      </c>
      <c r="E40" s="59" t="str">
        <f t="shared" si="4"/>
        <v>/</v>
      </c>
      <c r="F40" s="37" t="s">
        <v>201</v>
      </c>
      <c r="G40" s="58"/>
      <c r="H40" s="2" t="s">
        <v>317</v>
      </c>
    </row>
    <row r="41" spans="1:8">
      <c r="A41" s="13" t="s">
        <v>40</v>
      </c>
      <c r="B41" s="13" t="s">
        <v>253</v>
      </c>
      <c r="C41" s="2">
        <v>0.55000000000000004</v>
      </c>
      <c r="D41" s="37" t="s">
        <v>209</v>
      </c>
      <c r="E41" s="59" t="str">
        <f t="shared" si="4"/>
        <v>/</v>
      </c>
      <c r="F41" s="37" t="s">
        <v>201</v>
      </c>
      <c r="G41" s="58"/>
      <c r="H41" s="2" t="s">
        <v>317</v>
      </c>
    </row>
    <row r="42" spans="1:8">
      <c r="A42" s="13" t="s">
        <v>40</v>
      </c>
      <c r="B42" s="13" t="s">
        <v>254</v>
      </c>
      <c r="C42" s="2">
        <v>2.15</v>
      </c>
      <c r="D42" s="37" t="s">
        <v>209</v>
      </c>
      <c r="E42" s="59" t="str">
        <f t="shared" si="4"/>
        <v>/</v>
      </c>
      <c r="F42" s="37" t="s">
        <v>73</v>
      </c>
      <c r="G42" s="58"/>
      <c r="H42" s="2" t="s">
        <v>255</v>
      </c>
    </row>
    <row r="43" spans="1:8">
      <c r="A43" s="13" t="s">
        <v>40</v>
      </c>
      <c r="B43" s="13" t="s">
        <v>256</v>
      </c>
      <c r="C43" s="2">
        <v>0.54</v>
      </c>
      <c r="D43" s="37" t="s">
        <v>258</v>
      </c>
      <c r="E43" s="59" t="str">
        <f t="shared" si="4"/>
        <v>/</v>
      </c>
      <c r="F43" s="37" t="s">
        <v>257</v>
      </c>
      <c r="G43" s="58"/>
      <c r="H43" s="2" t="s">
        <v>259</v>
      </c>
    </row>
    <row r="44" spans="1:8">
      <c r="A44" s="13" t="s">
        <v>11</v>
      </c>
      <c r="B44" s="13" t="s">
        <v>260</v>
      </c>
      <c r="C44" s="2">
        <v>5.8000000000000003E-2</v>
      </c>
      <c r="D44" s="37" t="s">
        <v>261</v>
      </c>
      <c r="E44" s="59" t="str">
        <f t="shared" si="4"/>
        <v>/</v>
      </c>
      <c r="F44" s="37" t="s">
        <v>196</v>
      </c>
      <c r="G44" s="58"/>
      <c r="H44" s="2"/>
    </row>
    <row r="45" spans="1:8">
      <c r="A45" s="13" t="s">
        <v>11</v>
      </c>
      <c r="B45" s="13" t="s">
        <v>262</v>
      </c>
      <c r="C45" s="2">
        <v>0.05</v>
      </c>
      <c r="D45" s="37" t="s">
        <v>263</v>
      </c>
      <c r="E45" s="59" t="str">
        <f t="shared" si="4"/>
        <v>/</v>
      </c>
      <c r="F45" s="37" t="s">
        <v>196</v>
      </c>
      <c r="G45" s="58"/>
      <c r="H45" s="2"/>
    </row>
    <row r="46" spans="1:8">
      <c r="A46" s="13" t="s">
        <v>11</v>
      </c>
      <c r="B46" s="13" t="s">
        <v>264</v>
      </c>
      <c r="C46" s="2">
        <v>0.01</v>
      </c>
      <c r="D46" s="37" t="s">
        <v>265</v>
      </c>
      <c r="E46" s="59" t="str">
        <f t="shared" si="4"/>
        <v>/</v>
      </c>
      <c r="F46" s="37" t="s">
        <v>196</v>
      </c>
      <c r="G46" s="58"/>
      <c r="H46" s="2" t="s">
        <v>266</v>
      </c>
    </row>
    <row r="47" spans="1:8">
      <c r="A47" s="13" t="s">
        <v>11</v>
      </c>
      <c r="B47" s="13" t="s">
        <v>267</v>
      </c>
      <c r="C47" s="2">
        <v>0.08</v>
      </c>
      <c r="D47" s="37" t="s">
        <v>217</v>
      </c>
      <c r="E47" s="59" t="str">
        <f t="shared" si="4"/>
        <v>/</v>
      </c>
      <c r="F47" s="37" t="s">
        <v>196</v>
      </c>
      <c r="G47" s="58"/>
      <c r="H47" s="2"/>
    </row>
    <row r="48" spans="1:8">
      <c r="A48" s="13" t="s">
        <v>11</v>
      </c>
      <c r="B48" s="13" t="s">
        <v>268</v>
      </c>
      <c r="C48" s="2">
        <v>0.08</v>
      </c>
      <c r="D48" s="37" t="s">
        <v>217</v>
      </c>
      <c r="E48" s="59" t="str">
        <f t="shared" si="4"/>
        <v>/</v>
      </c>
      <c r="F48" s="37" t="s">
        <v>196</v>
      </c>
      <c r="G48" s="58"/>
      <c r="H48" s="2"/>
    </row>
    <row r="49" spans="1:8">
      <c r="A49" s="13" t="s">
        <v>18</v>
      </c>
      <c r="B49" s="13" t="s">
        <v>269</v>
      </c>
      <c r="C49" s="2">
        <v>2E-3</v>
      </c>
      <c r="D49" s="37" t="s">
        <v>271</v>
      </c>
      <c r="E49" s="59" t="str">
        <f t="shared" si="4"/>
        <v>/</v>
      </c>
      <c r="F49" s="37" t="s">
        <v>270</v>
      </c>
      <c r="G49" s="58"/>
      <c r="H49" s="2"/>
    </row>
    <row r="50" spans="1:8">
      <c r="A50" s="13" t="s">
        <v>18</v>
      </c>
      <c r="B50" s="13" t="s">
        <v>272</v>
      </c>
      <c r="C50" s="2">
        <v>0.09</v>
      </c>
      <c r="D50" s="37" t="s">
        <v>271</v>
      </c>
      <c r="E50" s="59" t="str">
        <f t="shared" si="4"/>
        <v>/</v>
      </c>
      <c r="F50" s="37" t="s">
        <v>270</v>
      </c>
      <c r="G50" s="58"/>
      <c r="H50" s="2"/>
    </row>
    <row r="51" spans="1:8">
      <c r="A51" s="13" t="s">
        <v>18</v>
      </c>
      <c r="B51" s="13" t="s">
        <v>273</v>
      </c>
      <c r="C51" s="2">
        <v>1E-3</v>
      </c>
      <c r="D51" s="37" t="s">
        <v>271</v>
      </c>
      <c r="E51" s="59" t="str">
        <f t="shared" si="4"/>
        <v>/</v>
      </c>
      <c r="F51" s="37" t="s">
        <v>270</v>
      </c>
      <c r="G51" s="58"/>
      <c r="H51" s="2"/>
    </row>
    <row r="52" spans="1:8">
      <c r="A52" s="13" t="s">
        <v>18</v>
      </c>
      <c r="B52" s="13" t="s">
        <v>274</v>
      </c>
      <c r="C52" s="2">
        <v>2.5000000000000001E-2</v>
      </c>
      <c r="D52" s="37" t="s">
        <v>271</v>
      </c>
      <c r="E52" s="59" t="str">
        <f t="shared" si="3"/>
        <v>/</v>
      </c>
      <c r="F52" s="37" t="s">
        <v>270</v>
      </c>
      <c r="G52" s="58"/>
      <c r="H52" s="2"/>
    </row>
    <row r="53" spans="1:8">
      <c r="A53" s="13" t="s">
        <v>18</v>
      </c>
      <c r="B53" s="13" t="s">
        <v>275</v>
      </c>
      <c r="C53" s="2">
        <v>3000</v>
      </c>
      <c r="D53" s="37" t="s">
        <v>201</v>
      </c>
      <c r="E53" s="59" t="str">
        <f t="shared" si="3"/>
        <v>/</v>
      </c>
      <c r="F53" s="37" t="s">
        <v>276</v>
      </c>
      <c r="G53" s="58"/>
      <c r="H53" s="2"/>
    </row>
    <row r="54" spans="1:8">
      <c r="A54" s="13" t="s">
        <v>18</v>
      </c>
      <c r="B54" s="13" t="s">
        <v>277</v>
      </c>
      <c r="C54" s="2">
        <v>2E-3</v>
      </c>
      <c r="D54" s="37" t="s">
        <v>278</v>
      </c>
      <c r="E54" s="59" t="str">
        <f t="shared" si="3"/>
        <v>/</v>
      </c>
      <c r="F54" s="37" t="s">
        <v>196</v>
      </c>
      <c r="G54" s="58"/>
      <c r="H54" s="2"/>
    </row>
    <row r="55" spans="1:8">
      <c r="A55" s="13" t="s">
        <v>18</v>
      </c>
      <c r="B55" s="13" t="s">
        <v>279</v>
      </c>
      <c r="C55" s="2">
        <v>2.5000000000000001E-3</v>
      </c>
      <c r="D55" s="37" t="s">
        <v>318</v>
      </c>
      <c r="E55" s="59" t="str">
        <f t="shared" si="3"/>
        <v>/</v>
      </c>
      <c r="F55" s="37" t="s">
        <v>196</v>
      </c>
      <c r="G55" s="58"/>
      <c r="H55" s="2"/>
    </row>
    <row r="56" spans="1:8">
      <c r="A56" s="13"/>
      <c r="B56" s="13"/>
      <c r="C56" s="2"/>
      <c r="D56" s="37"/>
      <c r="E56" s="59" t="str">
        <f t="shared" si="2"/>
        <v/>
      </c>
      <c r="F56" s="37"/>
      <c r="G56" s="58"/>
      <c r="H56" s="2"/>
    </row>
    <row r="57" spans="1:8">
      <c r="A57" s="13"/>
      <c r="B57" s="13"/>
      <c r="C57" s="2"/>
      <c r="D57" s="37"/>
      <c r="E57" s="59" t="str">
        <f t="shared" si="2"/>
        <v/>
      </c>
      <c r="F57" s="37"/>
      <c r="G57" s="58"/>
      <c r="H57" s="2"/>
    </row>
    <row r="58" spans="1:8">
      <c r="A58" s="13"/>
      <c r="B58" s="13"/>
      <c r="C58" s="2"/>
      <c r="D58" s="37"/>
      <c r="E58" s="59" t="str">
        <f t="shared" si="2"/>
        <v/>
      </c>
      <c r="F58" s="37"/>
      <c r="G58" s="58"/>
      <c r="H58" s="2"/>
    </row>
    <row r="59" spans="1:8">
      <c r="A59" s="13"/>
      <c r="B59" s="13"/>
      <c r="C59" s="2"/>
      <c r="D59" s="37"/>
      <c r="E59" s="59" t="str">
        <f t="shared" si="2"/>
        <v/>
      </c>
      <c r="F59" s="37"/>
      <c r="G59" s="58"/>
      <c r="H59" s="2"/>
    </row>
    <row r="60" spans="1:8">
      <c r="A60" s="13"/>
      <c r="B60" s="13"/>
      <c r="C60" s="2"/>
      <c r="D60" s="37"/>
      <c r="E60" s="59" t="str">
        <f t="shared" si="2"/>
        <v/>
      </c>
      <c r="F60" s="37"/>
      <c r="G60" s="58"/>
      <c r="H60" s="2"/>
    </row>
    <row r="61" spans="1:8">
      <c r="A61" s="13"/>
      <c r="B61" s="13"/>
      <c r="C61" s="2"/>
      <c r="D61" s="37"/>
      <c r="E61" s="59" t="str">
        <f t="shared" si="1"/>
        <v/>
      </c>
      <c r="F61" s="37"/>
      <c r="G61" s="58"/>
      <c r="H61" s="2"/>
    </row>
    <row r="62" spans="1:8">
      <c r="A62" s="13"/>
      <c r="B62" s="13"/>
      <c r="C62" s="2"/>
      <c r="D62" s="37"/>
      <c r="E62" s="59" t="str">
        <f t="shared" si="1"/>
        <v/>
      </c>
      <c r="F62" s="37"/>
      <c r="G62" s="58"/>
      <c r="H62" s="2"/>
    </row>
    <row r="63" spans="1:8">
      <c r="A63" s="13"/>
      <c r="B63" s="13"/>
      <c r="C63" s="2"/>
      <c r="D63" s="37"/>
      <c r="E63" s="59" t="str">
        <f t="shared" si="1"/>
        <v/>
      </c>
      <c r="F63" s="37"/>
      <c r="G63" s="58"/>
      <c r="H63" s="2"/>
    </row>
    <row r="64" spans="1:8">
      <c r="A64" s="13"/>
      <c r="B64" s="13"/>
      <c r="C64" s="2"/>
      <c r="D64" s="37"/>
      <c r="E64" s="59" t="str">
        <f t="shared" si="1"/>
        <v/>
      </c>
      <c r="F64" s="37"/>
      <c r="G64" s="58"/>
      <c r="H64" s="2"/>
    </row>
    <row r="65" spans="1:8">
      <c r="A65" s="13"/>
      <c r="B65" s="13"/>
      <c r="C65" s="2"/>
      <c r="D65" s="37"/>
      <c r="E65" s="59" t="str">
        <f t="shared" si="1"/>
        <v/>
      </c>
      <c r="F65" s="37"/>
      <c r="G65" s="58"/>
      <c r="H65" s="2"/>
    </row>
    <row r="66" spans="1:8">
      <c r="A66" s="13"/>
      <c r="B66" s="13"/>
      <c r="C66" s="2"/>
      <c r="D66" s="37"/>
      <c r="E66" s="59" t="str">
        <f t="shared" si="1"/>
        <v/>
      </c>
      <c r="F66" s="37"/>
      <c r="G66" s="58"/>
      <c r="H66" s="2"/>
    </row>
    <row r="67" spans="1:8">
      <c r="A67" s="13"/>
      <c r="B67" s="13"/>
      <c r="C67" s="2"/>
      <c r="D67" s="37"/>
      <c r="E67" s="59" t="str">
        <f t="shared" si="1"/>
        <v/>
      </c>
      <c r="F67" s="37"/>
      <c r="G67" s="58"/>
      <c r="H67" s="2"/>
    </row>
    <row r="68" spans="1:8">
      <c r="A68" s="13"/>
      <c r="B68" s="13"/>
      <c r="C68" s="2"/>
      <c r="D68" s="37"/>
      <c r="E68" s="59" t="str">
        <f t="shared" si="1"/>
        <v/>
      </c>
      <c r="F68" s="37"/>
      <c r="G68" s="58"/>
      <c r="H68" s="2"/>
    </row>
    <row r="69" spans="1:8">
      <c r="A69" s="13"/>
      <c r="B69" s="13"/>
      <c r="C69" s="2"/>
      <c r="D69" s="37"/>
      <c r="E69" s="59" t="str">
        <f t="shared" si="1"/>
        <v/>
      </c>
      <c r="F69" s="37"/>
      <c r="G69" s="58"/>
      <c r="H69" s="2"/>
    </row>
    <row r="70" spans="1:8">
      <c r="A70" s="13"/>
      <c r="B70" s="13"/>
      <c r="C70" s="2"/>
      <c r="D70" s="37"/>
      <c r="E70" s="59" t="str">
        <f t="shared" si="1"/>
        <v/>
      </c>
      <c r="F70" s="37"/>
      <c r="G70" s="58"/>
      <c r="H70" s="2"/>
    </row>
    <row r="71" spans="1:8">
      <c r="A71" s="13"/>
      <c r="B71" s="13"/>
      <c r="C71" s="2"/>
      <c r="D71" s="37"/>
      <c r="E71" s="59" t="str">
        <f t="shared" si="1"/>
        <v/>
      </c>
      <c r="F71" s="37"/>
      <c r="G71" s="58"/>
      <c r="H71" s="2"/>
    </row>
    <row r="72" spans="1:8">
      <c r="A72" s="13"/>
      <c r="B72" s="13"/>
      <c r="C72" s="2"/>
      <c r="D72" s="37"/>
      <c r="E72" s="59" t="str">
        <f t="shared" si="1"/>
        <v/>
      </c>
      <c r="F72" s="37"/>
      <c r="G72" s="58"/>
      <c r="H72" s="2"/>
    </row>
    <row r="73" spans="1:8">
      <c r="A73" s="13"/>
      <c r="B73" s="13"/>
      <c r="C73" s="2"/>
      <c r="D73" s="37"/>
      <c r="E73" s="59" t="str">
        <f t="shared" si="1"/>
        <v/>
      </c>
      <c r="F73" s="37"/>
      <c r="G73" s="58"/>
      <c r="H73" s="2"/>
    </row>
    <row r="74" spans="1:8">
      <c r="A74" s="13"/>
      <c r="B74" s="13"/>
      <c r="C74" s="2"/>
      <c r="D74" s="37"/>
      <c r="E74" s="59" t="str">
        <f t="shared" si="1"/>
        <v/>
      </c>
      <c r="F74" s="37"/>
      <c r="G74" s="58"/>
      <c r="H74" s="2"/>
    </row>
    <row r="75" spans="1:8">
      <c r="A75" s="13"/>
      <c r="B75" s="13"/>
      <c r="C75" s="2"/>
      <c r="D75" s="37"/>
      <c r="E75" s="59" t="str">
        <f t="shared" si="1"/>
        <v/>
      </c>
      <c r="F75" s="37"/>
      <c r="G75" s="58"/>
      <c r="H75" s="2"/>
    </row>
    <row r="76" spans="1:8">
      <c r="A76" s="13"/>
      <c r="B76" s="13"/>
      <c r="C76" s="2"/>
      <c r="D76" s="37"/>
      <c r="E76" s="59" t="str">
        <f t="shared" si="1"/>
        <v/>
      </c>
      <c r="F76" s="37"/>
      <c r="G76" s="58"/>
      <c r="H76" s="2"/>
    </row>
    <row r="77" spans="1:8">
      <c r="A77" s="13"/>
      <c r="B77" s="13"/>
      <c r="C77" s="2"/>
      <c r="D77" s="37"/>
      <c r="E77" s="59" t="str">
        <f t="shared" si="1"/>
        <v/>
      </c>
      <c r="F77" s="37"/>
      <c r="G77" s="58"/>
      <c r="H77" s="2"/>
    </row>
    <row r="78" spans="1:8">
      <c r="A78" s="13"/>
      <c r="B78" s="13"/>
      <c r="C78" s="2"/>
      <c r="D78" s="37"/>
      <c r="E78" s="59" t="str">
        <f t="shared" si="1"/>
        <v/>
      </c>
      <c r="F78" s="37"/>
      <c r="G78" s="58"/>
      <c r="H78" s="2"/>
    </row>
    <row r="79" spans="1:8">
      <c r="A79" s="13"/>
      <c r="B79" s="13"/>
      <c r="C79" s="2"/>
      <c r="D79" s="37"/>
      <c r="E79" s="59" t="str">
        <f t="shared" si="1"/>
        <v/>
      </c>
      <c r="F79" s="37"/>
      <c r="G79" s="58"/>
      <c r="H79" s="2"/>
    </row>
    <row r="80" spans="1:8">
      <c r="A80" s="13"/>
      <c r="B80" s="13"/>
      <c r="C80" s="2"/>
      <c r="D80" s="37"/>
      <c r="E80" s="59" t="str">
        <f t="shared" si="1"/>
        <v/>
      </c>
      <c r="F80" s="37"/>
      <c r="G80" s="58"/>
      <c r="H80" s="2"/>
    </row>
    <row r="81" spans="1:8">
      <c r="A81" s="13"/>
      <c r="B81" s="13"/>
      <c r="C81" s="2"/>
      <c r="D81" s="37"/>
      <c r="E81" s="59" t="str">
        <f t="shared" ref="E81:E82" si="5">IF(A81&lt;&gt;"","/","")</f>
        <v/>
      </c>
      <c r="F81" s="37"/>
      <c r="G81" s="58"/>
      <c r="H81" s="2"/>
    </row>
    <row r="82" spans="1:8">
      <c r="A82" s="13"/>
      <c r="B82" s="13"/>
      <c r="C82" s="2"/>
      <c r="D82" s="37"/>
      <c r="E82" s="59" t="str">
        <f t="shared" si="5"/>
        <v/>
      </c>
      <c r="F82" s="37"/>
      <c r="G82" s="58"/>
      <c r="H82" s="2"/>
    </row>
    <row r="83" spans="1:8">
      <c r="A83" s="13"/>
      <c r="B83" s="13"/>
      <c r="C83" s="2"/>
      <c r="D83" s="37"/>
      <c r="E83" s="59" t="str">
        <f t="shared" ref="E83:E103" si="6">IF(A83&lt;&gt;"","/","")</f>
        <v/>
      </c>
      <c r="F83" s="37"/>
      <c r="G83" s="58"/>
      <c r="H83" s="2"/>
    </row>
    <row r="84" spans="1:8">
      <c r="A84" s="13"/>
      <c r="B84" s="13"/>
      <c r="C84" s="2"/>
      <c r="D84" s="37"/>
      <c r="E84" s="59" t="str">
        <f t="shared" si="6"/>
        <v/>
      </c>
      <c r="F84" s="37"/>
      <c r="G84" s="58"/>
      <c r="H84" s="2"/>
    </row>
    <row r="85" spans="1:8">
      <c r="A85" s="13"/>
      <c r="B85" s="13"/>
      <c r="C85" s="2"/>
      <c r="D85" s="37"/>
      <c r="E85" s="59" t="str">
        <f t="shared" si="6"/>
        <v/>
      </c>
      <c r="F85" s="37"/>
      <c r="G85" s="58"/>
      <c r="H85" s="2"/>
    </row>
    <row r="86" spans="1:8">
      <c r="A86" s="13"/>
      <c r="B86" s="13"/>
      <c r="C86" s="2"/>
      <c r="D86" s="37"/>
      <c r="E86" s="59" t="str">
        <f t="shared" si="6"/>
        <v/>
      </c>
      <c r="F86" s="37"/>
      <c r="G86" s="58"/>
      <c r="H86" s="2"/>
    </row>
    <row r="87" spans="1:8">
      <c r="A87" s="13"/>
      <c r="B87" s="13"/>
      <c r="C87" s="2"/>
      <c r="D87" s="37"/>
      <c r="E87" s="59" t="str">
        <f t="shared" si="6"/>
        <v/>
      </c>
      <c r="F87" s="37"/>
      <c r="G87" s="58"/>
      <c r="H87" s="2"/>
    </row>
    <row r="88" spans="1:8">
      <c r="A88" s="13"/>
      <c r="B88" s="13"/>
      <c r="C88" s="2"/>
      <c r="D88" s="37"/>
      <c r="E88" s="59" t="str">
        <f t="shared" si="6"/>
        <v/>
      </c>
      <c r="F88" s="37"/>
      <c r="G88" s="58"/>
      <c r="H88" s="2"/>
    </row>
    <row r="89" spans="1:8">
      <c r="A89" s="13"/>
      <c r="B89" s="13"/>
      <c r="C89" s="2"/>
      <c r="D89" s="37"/>
      <c r="E89" s="59" t="str">
        <f t="shared" si="6"/>
        <v/>
      </c>
      <c r="F89" s="37"/>
      <c r="G89" s="58"/>
      <c r="H89" s="2"/>
    </row>
    <row r="90" spans="1:8">
      <c r="A90" s="13"/>
      <c r="B90" s="13"/>
      <c r="C90" s="2"/>
      <c r="D90" s="37"/>
      <c r="E90" s="59" t="str">
        <f t="shared" si="6"/>
        <v/>
      </c>
      <c r="F90" s="37"/>
      <c r="G90" s="58"/>
      <c r="H90" s="2"/>
    </row>
    <row r="91" spans="1:8">
      <c r="A91" s="13"/>
      <c r="B91" s="13"/>
      <c r="C91" s="2"/>
      <c r="D91" s="37"/>
      <c r="E91" s="59" t="str">
        <f t="shared" si="6"/>
        <v/>
      </c>
      <c r="F91" s="37"/>
      <c r="G91" s="58"/>
      <c r="H91" s="2"/>
    </row>
    <row r="92" spans="1:8">
      <c r="A92" s="13"/>
      <c r="B92" s="13"/>
      <c r="C92" s="2"/>
      <c r="D92" s="37"/>
      <c r="E92" s="59" t="str">
        <f t="shared" si="6"/>
        <v/>
      </c>
      <c r="F92" s="37"/>
      <c r="G92" s="58"/>
      <c r="H92" s="2"/>
    </row>
    <row r="93" spans="1:8">
      <c r="A93" s="13"/>
      <c r="B93" s="13"/>
      <c r="C93" s="2"/>
      <c r="D93" s="37"/>
      <c r="E93" s="59" t="str">
        <f t="shared" si="6"/>
        <v/>
      </c>
      <c r="F93" s="37"/>
      <c r="G93" s="58"/>
      <c r="H93" s="2"/>
    </row>
    <row r="94" spans="1:8">
      <c r="A94" s="13"/>
      <c r="B94" s="13"/>
      <c r="C94" s="2"/>
      <c r="D94" s="37"/>
      <c r="E94" s="59" t="str">
        <f t="shared" si="6"/>
        <v/>
      </c>
      <c r="F94" s="37"/>
      <c r="G94" s="58"/>
      <c r="H94" s="2"/>
    </row>
    <row r="95" spans="1:8">
      <c r="A95" s="13"/>
      <c r="B95" s="13"/>
      <c r="C95" s="2"/>
      <c r="D95" s="37"/>
      <c r="E95" s="59" t="str">
        <f t="shared" si="6"/>
        <v/>
      </c>
      <c r="F95" s="37"/>
      <c r="G95" s="58"/>
      <c r="H95" s="2"/>
    </row>
    <row r="96" spans="1:8">
      <c r="A96" s="13"/>
      <c r="B96" s="13"/>
      <c r="C96" s="2"/>
      <c r="D96" s="37"/>
      <c r="E96" s="59" t="str">
        <f t="shared" si="6"/>
        <v/>
      </c>
      <c r="F96" s="37"/>
      <c r="G96" s="58"/>
      <c r="H96" s="2"/>
    </row>
    <row r="97" spans="1:8">
      <c r="A97" s="13"/>
      <c r="B97" s="13"/>
      <c r="C97" s="2"/>
      <c r="D97" s="37"/>
      <c r="E97" s="59" t="str">
        <f t="shared" si="6"/>
        <v/>
      </c>
      <c r="F97" s="37"/>
      <c r="G97" s="58"/>
      <c r="H97" s="2"/>
    </row>
    <row r="98" spans="1:8">
      <c r="A98" s="13"/>
      <c r="B98" s="13"/>
      <c r="C98" s="2"/>
      <c r="D98" s="37"/>
      <c r="E98" s="59" t="str">
        <f t="shared" si="6"/>
        <v/>
      </c>
      <c r="F98" s="37"/>
      <c r="G98" s="58"/>
      <c r="H98" s="2"/>
    </row>
    <row r="99" spans="1:8">
      <c r="A99" s="13"/>
      <c r="B99" s="13"/>
      <c r="C99" s="2"/>
      <c r="D99" s="37"/>
      <c r="E99" s="59" t="str">
        <f t="shared" si="6"/>
        <v/>
      </c>
      <c r="F99" s="37"/>
      <c r="G99" s="58"/>
      <c r="H99" s="2"/>
    </row>
    <row r="100" spans="1:8">
      <c r="A100" s="13"/>
      <c r="B100" s="13"/>
      <c r="C100" s="2"/>
      <c r="D100" s="37"/>
      <c r="E100" s="59" t="str">
        <f t="shared" si="6"/>
        <v/>
      </c>
      <c r="F100" s="37"/>
      <c r="G100" s="58"/>
      <c r="H100" s="2"/>
    </row>
    <row r="101" spans="1:8">
      <c r="A101" s="13"/>
      <c r="B101" s="13"/>
      <c r="C101" s="2"/>
      <c r="D101" s="37"/>
      <c r="E101" s="59" t="str">
        <f t="shared" si="6"/>
        <v/>
      </c>
      <c r="F101" s="37"/>
      <c r="G101" s="58"/>
      <c r="H101" s="2"/>
    </row>
    <row r="102" spans="1:8">
      <c r="A102" s="13"/>
      <c r="B102" s="13"/>
      <c r="C102" s="2"/>
      <c r="D102" s="37"/>
      <c r="E102" s="59" t="str">
        <f t="shared" si="6"/>
        <v/>
      </c>
      <c r="F102" s="37"/>
      <c r="G102" s="58"/>
      <c r="H102" s="2"/>
    </row>
    <row r="103" spans="1:8">
      <c r="A103" s="13"/>
      <c r="B103" s="13"/>
      <c r="C103" s="2"/>
      <c r="D103" s="37"/>
      <c r="E103" s="59" t="str">
        <f t="shared" si="6"/>
        <v/>
      </c>
      <c r="F103" s="37"/>
      <c r="G103" s="58"/>
      <c r="H103" s="2"/>
    </row>
  </sheetData>
  <sheetProtection algorithmName="SHA-512" hashValue="Fw36saJw/OIC+xlAKSWOAXjJnUKaz3jLvUeH7rz54RkjjFfv8YAje+1knJaDKHKpb4NUrXqw8WMMDfvmIfCOag==" saltValue="oC9gTe8Y7VY20KgKx4hdfQ==" spinCount="100000" sheet="1" objects="1" scenarios="1"/>
  <mergeCells count="1">
    <mergeCell ref="D3:F3"/>
  </mergeCells>
  <phoneticPr fontId="9" type="noConversion"/>
  <dataValidations count="1">
    <dataValidation type="list" allowBlank="1" showInputMessage="1" showErrorMessage="1" sqref="F2" xr:uid="{89278B71-A20C-450E-ADC4-5DF22FC29D16}">
      <formula1>"True,False"</formula1>
    </dataValidation>
  </dataValidations>
  <pageMargins left="0.7" right="0.7" top="0.75" bottom="0.75" header="0.3" footer="0.3"/>
  <pageSetup scale="57"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5057" r:id="rId4" name="Button 1">
              <controlPr defaultSize="0" print="0" autoFill="0" autoPict="0" macro="[0]!LoadSheet">
                <anchor moveWithCells="1" sizeWithCells="1">
                  <from>
                    <xdr:col>7</xdr:col>
                    <xdr:colOff>177800</xdr:colOff>
                    <xdr:row>0</xdr:row>
                    <xdr:rowOff>177800</xdr:rowOff>
                  </from>
                  <to>
                    <xdr:col>7</xdr:col>
                    <xdr:colOff>939800</xdr:colOff>
                    <xdr:row>2</xdr:row>
                    <xdr:rowOff>6350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3FE228-9C22-478A-8414-3916B64B82B9}">
  <sheetPr codeName="Sheet1"/>
  <dimension ref="A1:C27"/>
  <sheetViews>
    <sheetView topLeftCell="A12" zoomScale="79" workbookViewId="0">
      <selection activeCell="C14" sqref="C14"/>
    </sheetView>
  </sheetViews>
  <sheetFormatPr defaultColWidth="8.90625" defaultRowHeight="14.5"/>
  <cols>
    <col min="1" max="1" width="10.90625" style="1" customWidth="1"/>
    <col min="2" max="2" width="1.1796875" style="1" customWidth="1"/>
    <col min="3" max="3" width="148.6328125" style="1" customWidth="1"/>
    <col min="4" max="16384" width="8.90625" style="1"/>
  </cols>
  <sheetData>
    <row r="1" spans="1:3" ht="29">
      <c r="A1" s="40" t="s">
        <v>24</v>
      </c>
      <c r="B1" s="41"/>
      <c r="C1" s="42" t="s">
        <v>68</v>
      </c>
    </row>
    <row r="2" spans="1:3" ht="15" thickBot="1">
      <c r="A2"/>
      <c r="B2"/>
      <c r="C2"/>
    </row>
    <row r="3" spans="1:3" s="39" customFormat="1" ht="73.5" thickTop="1" thickBot="1">
      <c r="A3" s="43" t="s">
        <v>27</v>
      </c>
      <c r="B3" s="44"/>
      <c r="C3" s="45" t="s">
        <v>34</v>
      </c>
    </row>
    <row r="4" spans="1:3" s="39" customFormat="1" ht="59" thickTop="1" thickBot="1">
      <c r="A4" s="46" t="s">
        <v>31</v>
      </c>
      <c r="B4" s="44"/>
      <c r="C4" s="47" t="s">
        <v>66</v>
      </c>
    </row>
    <row r="5" spans="1:3" s="39" customFormat="1" ht="30" thickTop="1" thickBot="1">
      <c r="A5" s="43" t="s">
        <v>28</v>
      </c>
      <c r="B5" s="44"/>
      <c r="C5" s="45" t="s">
        <v>69</v>
      </c>
    </row>
    <row r="6" spans="1:3" s="39" customFormat="1" ht="59" thickTop="1" thickBot="1">
      <c r="A6" s="46" t="s">
        <v>4</v>
      </c>
      <c r="B6" s="44"/>
      <c r="C6" s="47" t="s">
        <v>37</v>
      </c>
    </row>
    <row r="7" spans="1:3" s="39" customFormat="1" ht="88" thickTop="1" thickBot="1">
      <c r="A7" s="43" t="s">
        <v>14</v>
      </c>
      <c r="B7" s="44"/>
      <c r="C7" s="45" t="s">
        <v>67</v>
      </c>
    </row>
    <row r="8" spans="1:3" s="39" customFormat="1" ht="59" thickTop="1" thickBot="1">
      <c r="A8" s="46" t="s">
        <v>6</v>
      </c>
      <c r="B8" s="44"/>
      <c r="C8" s="47" t="s">
        <v>42</v>
      </c>
    </row>
    <row r="9" spans="1:3" s="39" customFormat="1" ht="59" thickTop="1" thickBot="1">
      <c r="A9" s="43" t="s">
        <v>5</v>
      </c>
      <c r="B9" s="44"/>
      <c r="C9" s="45" t="s">
        <v>35</v>
      </c>
    </row>
    <row r="10" spans="1:3" s="39" customFormat="1" ht="44.5" thickTop="1" thickBot="1">
      <c r="A10" s="46" t="s">
        <v>12</v>
      </c>
      <c r="B10" s="44"/>
      <c r="C10" s="47" t="s">
        <v>36</v>
      </c>
    </row>
    <row r="11" spans="1:3" s="39" customFormat="1" ht="30" thickTop="1" thickBot="1">
      <c r="A11" s="43" t="s">
        <v>60</v>
      </c>
      <c r="B11" s="44"/>
      <c r="C11" s="45" t="s">
        <v>70</v>
      </c>
    </row>
    <row r="12" spans="1:3" s="39" customFormat="1" ht="44.5" thickTop="1" thickBot="1">
      <c r="A12" s="46" t="s">
        <v>59</v>
      </c>
      <c r="B12" s="44"/>
      <c r="C12" s="47" t="s">
        <v>71</v>
      </c>
    </row>
    <row r="13" spans="1:3" s="39" customFormat="1" ht="44.5" thickTop="1" thickBot="1">
      <c r="A13" s="43" t="s">
        <v>29</v>
      </c>
      <c r="B13" s="44"/>
      <c r="C13" s="45" t="s">
        <v>33</v>
      </c>
    </row>
    <row r="14" spans="1:3" s="39" customFormat="1" ht="44.5" thickTop="1" thickBot="1">
      <c r="A14" s="46" t="s">
        <v>30</v>
      </c>
      <c r="B14" s="44"/>
      <c r="C14" s="47" t="s">
        <v>72</v>
      </c>
    </row>
    <row r="15" spans="1:3" ht="15" thickTop="1"/>
    <row r="16" spans="1:3">
      <c r="C16" s="42" t="s">
        <v>44</v>
      </c>
    </row>
    <row r="17" spans="1:3" ht="29">
      <c r="A17" s="50" t="s">
        <v>7</v>
      </c>
      <c r="C17" s="52" t="s">
        <v>45</v>
      </c>
    </row>
    <row r="18" spans="1:3" ht="29">
      <c r="A18" s="51" t="s">
        <v>1</v>
      </c>
      <c r="C18" s="53" t="s">
        <v>46</v>
      </c>
    </row>
    <row r="19" spans="1:3" ht="29">
      <c r="A19" s="50" t="s">
        <v>2</v>
      </c>
      <c r="C19" s="52" t="s">
        <v>47</v>
      </c>
    </row>
    <row r="20" spans="1:3" ht="29">
      <c r="A20" s="51" t="s">
        <v>23</v>
      </c>
      <c r="C20" s="53" t="s">
        <v>48</v>
      </c>
    </row>
    <row r="21" spans="1:3" ht="29">
      <c r="A21" s="50" t="s">
        <v>17</v>
      </c>
      <c r="C21" s="52" t="s">
        <v>49</v>
      </c>
    </row>
    <row r="22" spans="1:3" ht="29">
      <c r="A22" s="51" t="s">
        <v>20</v>
      </c>
      <c r="C22" s="53" t="s">
        <v>50</v>
      </c>
    </row>
    <row r="23" spans="1:3" ht="43.5">
      <c r="A23" s="50" t="s">
        <v>40</v>
      </c>
      <c r="C23" s="52" t="s">
        <v>51</v>
      </c>
    </row>
    <row r="24" spans="1:3" ht="28.75" customHeight="1">
      <c r="A24" s="51" t="s">
        <v>41</v>
      </c>
      <c r="C24" s="53" t="s">
        <v>55</v>
      </c>
    </row>
    <row r="25" spans="1:3" ht="29">
      <c r="A25" s="50" t="s">
        <v>11</v>
      </c>
      <c r="C25" s="52" t="s">
        <v>56</v>
      </c>
    </row>
    <row r="26" spans="1:3" ht="43.5">
      <c r="A26" s="51" t="s">
        <v>18</v>
      </c>
      <c r="C26" s="53" t="s">
        <v>52</v>
      </c>
    </row>
    <row r="27" spans="1:3" ht="101.5">
      <c r="A27" s="50" t="s">
        <v>14</v>
      </c>
      <c r="C27" s="52" t="s">
        <v>76</v>
      </c>
    </row>
  </sheetData>
  <sheetProtection algorithmName="SHA-512" hashValue="DiE+K9ao2Q6Pwuph1QHD37hbsQsA8zsw+dQv8Luvt6NAnQ5aUuL65bP6lJD1Ycn112GckjPmLmNFu541U0Ofvg==" saltValue="VIg2zpZZ+9sEvr4g2S8gVg==" spinCount="100000" sheet="1" objects="1" scenarios="1"/>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12</vt:i4>
      </vt:variant>
      <vt:variant>
        <vt:lpstr>Named Ranges</vt:lpstr>
      </vt:variant>
      <vt:variant>
        <vt:i4>110</vt:i4>
      </vt:variant>
    </vt:vector>
  </HeadingPairs>
  <TitlesOfParts>
    <vt:vector size="122" baseType="lpstr">
      <vt:lpstr>System</vt:lpstr>
      <vt:lpstr>Module</vt:lpstr>
      <vt:lpstr>Inverter</vt:lpstr>
      <vt:lpstr>ESS</vt:lpstr>
      <vt:lpstr>SBOS</vt:lpstr>
      <vt:lpstr>EBOS</vt:lpstr>
      <vt:lpstr>Fieldwork</vt:lpstr>
      <vt:lpstr>Officework</vt:lpstr>
      <vt:lpstr>Other</vt:lpstr>
      <vt:lpstr>O_M</vt:lpstr>
      <vt:lpstr>Factors</vt:lpstr>
      <vt:lpstr>Guide</vt:lpstr>
      <vt:lpstr>Battery45X</vt:lpstr>
      <vt:lpstr>BatteryDuration</vt:lpstr>
      <vt:lpstr>CellToModule</vt:lpstr>
      <vt:lpstr>ContingencyRate</vt:lpstr>
      <vt:lpstr>DeveloperProfitMMP</vt:lpstr>
      <vt:lpstr>DeveloperProfitMSP</vt:lpstr>
      <vt:lpstr>EBOSMMP</vt:lpstr>
      <vt:lpstr>EBOSMSP</vt:lpstr>
      <vt:lpstr>EBOSSize</vt:lpstr>
      <vt:lpstr>EBOSUnit</vt:lpstr>
      <vt:lpstr>EBOSweight</vt:lpstr>
      <vt:lpstr>ESS_ILR</vt:lpstr>
      <vt:lpstr>ESSDepreciation</vt:lpstr>
      <vt:lpstr>ESSElectricity</vt:lpstr>
      <vt:lpstr>ESSInstallLabor</vt:lpstr>
      <vt:lpstr>ESSLabor</vt:lpstr>
      <vt:lpstr>ESSLossRate</vt:lpstr>
      <vt:lpstr>ESSMarketPrice</vt:lpstr>
      <vt:lpstr>ESSMMP</vt:lpstr>
      <vt:lpstr>ESSMSP</vt:lpstr>
      <vt:lpstr>ESSProfitMSP</vt:lpstr>
      <vt:lpstr>ESSSize</vt:lpstr>
      <vt:lpstr>ESSUnit</vt:lpstr>
      <vt:lpstr>ESSWeight</vt:lpstr>
      <vt:lpstr>FastenerWeight</vt:lpstr>
      <vt:lpstr>FieldworkMMP</vt:lpstr>
      <vt:lpstr>FieldworkMSP</vt:lpstr>
      <vt:lpstr>FieldworkSize</vt:lpstr>
      <vt:lpstr>FieldworkUnit</vt:lpstr>
      <vt:lpstr>ILR</vt:lpstr>
      <vt:lpstr>IncludeESS</vt:lpstr>
      <vt:lpstr>IncludeIndirect</vt:lpstr>
      <vt:lpstr>InsuranceRate</vt:lpstr>
      <vt:lpstr>InverterDepreciation</vt:lpstr>
      <vt:lpstr>InverterElectricity</vt:lpstr>
      <vt:lpstr>InverterLabor</vt:lpstr>
      <vt:lpstr>InverterLossRate</vt:lpstr>
      <vt:lpstr>InverterMarketPrice</vt:lpstr>
      <vt:lpstr>InverterMMP</vt:lpstr>
      <vt:lpstr>InverterMSP</vt:lpstr>
      <vt:lpstr>InverterProfitMSP</vt:lpstr>
      <vt:lpstr>InverterSize</vt:lpstr>
      <vt:lpstr>InverterUnit</vt:lpstr>
      <vt:lpstr>InverterWeight</vt:lpstr>
      <vt:lpstr>LaborBurdenRate</vt:lpstr>
      <vt:lpstr>LandArea</vt:lpstr>
      <vt:lpstr>ModuleDepreciation</vt:lpstr>
      <vt:lpstr>ModuleEfficiency</vt:lpstr>
      <vt:lpstr>ModuleElectricity</vt:lpstr>
      <vt:lpstr>ModuleHeight</vt:lpstr>
      <vt:lpstr>ModuleLabor</vt:lpstr>
      <vt:lpstr>ModuleLossRate</vt:lpstr>
      <vt:lpstr>ModuleMarketPrice</vt:lpstr>
      <vt:lpstr>ModuleMMP</vt:lpstr>
      <vt:lpstr>ModuleMSP</vt:lpstr>
      <vt:lpstr>ModuleProfitMSP</vt:lpstr>
      <vt:lpstr>ModuleSize</vt:lpstr>
      <vt:lpstr>ModuleUnit</vt:lpstr>
      <vt:lpstr>ModuleWeight</vt:lpstr>
      <vt:lpstr>ModuleWidth</vt:lpstr>
      <vt:lpstr>O_MMMP</vt:lpstr>
      <vt:lpstr>O_MMSP</vt:lpstr>
      <vt:lpstr>O_MSize</vt:lpstr>
      <vt:lpstr>O_MUnit</vt:lpstr>
      <vt:lpstr>OfficeworkMMP</vt:lpstr>
      <vt:lpstr>OfficeworkMSP</vt:lpstr>
      <vt:lpstr>OfficeworkSize</vt:lpstr>
      <vt:lpstr>OfficeworkUnit</vt:lpstr>
      <vt:lpstr>OtherMMP</vt:lpstr>
      <vt:lpstr>OtherMSP</vt:lpstr>
      <vt:lpstr>OtherSize</vt:lpstr>
      <vt:lpstr>OtherUnit</vt:lpstr>
      <vt:lpstr>OverheadRate</vt:lpstr>
      <vt:lpstr>PartsLossRate</vt:lpstr>
      <vt:lpstr>PiersPerRow</vt:lpstr>
      <vt:lpstr>PropertyTaxRate</vt:lpstr>
      <vt:lpstr>PVConstructionLabor</vt:lpstr>
      <vt:lpstr>PVElectricalLabor</vt:lpstr>
      <vt:lpstr>RowLength</vt:lpstr>
      <vt:lpstr>SalesTaxRate</vt:lpstr>
      <vt:lpstr>SBOSMMP</vt:lpstr>
      <vt:lpstr>SBOSMSP</vt:lpstr>
      <vt:lpstr>SBOSshippingWeight</vt:lpstr>
      <vt:lpstr>SBOSSize</vt:lpstr>
      <vt:lpstr>SBOSUnit</vt:lpstr>
      <vt:lpstr>StorageDuration</vt:lpstr>
      <vt:lpstr>SysEBOSMMP</vt:lpstr>
      <vt:lpstr>SysEBOSMSP</vt:lpstr>
      <vt:lpstr>SysESSMMP</vt:lpstr>
      <vt:lpstr>SysESSMSP</vt:lpstr>
      <vt:lpstr>SysFieldworkMMP</vt:lpstr>
      <vt:lpstr>SysFieldworkMSP</vt:lpstr>
      <vt:lpstr>SysInverterMMP</vt:lpstr>
      <vt:lpstr>SysInverterMSP</vt:lpstr>
      <vt:lpstr>SysModuleMMP</vt:lpstr>
      <vt:lpstr>SysModuleMSP</vt:lpstr>
      <vt:lpstr>SysOfficeworkMMP</vt:lpstr>
      <vt:lpstr>SysOfficeworkMSP</vt:lpstr>
      <vt:lpstr>SysOtherMMP</vt:lpstr>
      <vt:lpstr>SysOtherMSP</vt:lpstr>
      <vt:lpstr>SysSBOSMMP</vt:lpstr>
      <vt:lpstr>SysSBOSMSP</vt:lpstr>
      <vt:lpstr>SystemMMP</vt:lpstr>
      <vt:lpstr>SystemMSP</vt:lpstr>
      <vt:lpstr>SystemSize</vt:lpstr>
      <vt:lpstr>SystemUnit</vt:lpstr>
      <vt:lpstr>Tariff201</vt:lpstr>
      <vt:lpstr>Tariff301</vt:lpstr>
      <vt:lpstr>Tariff301high</vt:lpstr>
      <vt:lpstr>TorqueTubeWeight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Paul Basore</dc:creator>
  <cp:lastModifiedBy>Cieply, Jacob</cp:lastModifiedBy>
  <cp:lastPrinted>2024-10-11T20:45:17Z</cp:lastPrinted>
  <dcterms:created xsi:type="dcterms:W3CDTF">2022-06-28T17:46:43Z</dcterms:created>
  <dcterms:modified xsi:type="dcterms:W3CDTF">2026-05-19T14:55:01Z</dcterms:modified>
</cp:coreProperties>
</file>