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F85AF352-61DE-46D0-83F9-BB00784D2EDA}"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9" i="20"/>
  <c r="H15" i="14"/>
  <c r="H21" i="3"/>
  <c r="F19" i="3"/>
  <c r="F13" i="20"/>
  <c r="F20" i="17"/>
  <c r="H13" i="17"/>
  <c r="F21" i="20"/>
  <c r="H16" i="14"/>
  <c r="H15" i="21"/>
  <c r="H11" i="17"/>
  <c r="H14" i="18"/>
  <c r="H12" i="20"/>
  <c r="F10" i="17"/>
  <c r="H11" i="16"/>
  <c r="F19" i="17"/>
  <c r="H11" i="18"/>
  <c r="F17" i="24"/>
  <c r="H11" i="20"/>
  <c r="H17" i="17"/>
  <c r="H19" i="14"/>
  <c r="F15" i="14"/>
  <c r="H17" i="14"/>
  <c r="F11" i="17"/>
  <c r="F12" i="21"/>
  <c r="F13" i="21"/>
  <c r="H18" i="14"/>
  <c r="F11" i="21"/>
  <c r="H20" i="3"/>
  <c r="F14" i="21"/>
  <c r="F17" i="17"/>
  <c r="H20" i="14"/>
  <c r="F12" i="20"/>
  <c r="F21" i="17"/>
  <c r="H12" i="19"/>
  <c r="F17" i="20"/>
  <c r="F20" i="21"/>
  <c r="F21" i="21"/>
  <c r="F17" i="21"/>
  <c r="F10" i="18"/>
  <c r="H15" i="17"/>
  <c r="H21" i="21"/>
  <c r="H20" i="21"/>
  <c r="F15" i="20"/>
  <c r="F11" i="20"/>
  <c r="H13" i="19"/>
  <c r="H10" i="20"/>
  <c r="F17" i="14"/>
  <c r="F20" i="14"/>
  <c r="F16" i="14"/>
  <c r="H17" i="20"/>
  <c r="H12" i="17"/>
  <c r="F10" i="21"/>
  <c r="H21" i="17"/>
  <c r="H17" i="21"/>
  <c r="H14" i="20"/>
  <c r="F21" i="3"/>
  <c r="F18" i="3"/>
  <c r="H10" i="24"/>
  <c r="H21" i="14"/>
  <c r="H19" i="3"/>
  <c r="F21" i="14"/>
  <c r="F18" i="14"/>
  <c r="H13" i="20"/>
  <c r="F10" i="20"/>
  <c r="H16" i="17"/>
  <c r="F20" i="20"/>
  <c r="H21" i="20"/>
  <c r="H10" i="17"/>
  <c r="F20" i="16"/>
  <c r="F19" i="14"/>
  <c r="F12" i="17"/>
  <c r="H18" i="3"/>
  <c r="F14" i="17"/>
  <c r="F20" i="3"/>
  <c r="F21" i="22"/>
  <c r="F15" i="19"/>
  <c r="H10" i="16"/>
  <c r="H20" i="17"/>
  <c r="F16" i="21"/>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H15" i="24"/>
  <c r="F16" i="24"/>
  <c r="F14" i="20"/>
  <c r="F21" i="19"/>
  <c r="H18" i="18"/>
  <c r="F11" i="18"/>
  <c r="F16" i="18"/>
  <c r="H17" i="24"/>
  <c r="F11" i="24"/>
  <c r="F13" i="24"/>
  <c r="F15" i="17"/>
  <c r="F10" i="24"/>
  <c r="F17" i="19"/>
  <c r="H20" i="22"/>
  <c r="H13" i="16"/>
  <c r="F20" i="22"/>
  <c r="H14" i="21"/>
  <c r="H13" i="24"/>
  <c r="F16" i="19"/>
  <c r="F11" i="19"/>
  <c r="H12" i="16"/>
  <c r="H10" i="22"/>
  <c r="H19" i="24"/>
  <c r="H18" i="19"/>
  <c r="F21" i="18"/>
  <c r="H11" i="19"/>
  <c r="H11" i="22"/>
  <c r="H14" i="24"/>
  <c r="H15" i="19"/>
  <c r="H13" i="18"/>
  <c r="H12" i="21"/>
  <c r="H21" i="24"/>
  <c r="F13" i="19"/>
  <c r="F17" i="16"/>
  <c r="H12" i="24"/>
  <c r="H21" i="16"/>
  <c r="F13" i="18"/>
  <c r="F18" i="24"/>
  <c r="F19" i="24"/>
  <c r="F10" i="22"/>
  <c r="H14" i="19"/>
  <c r="F14" i="19"/>
  <c r="F13" i="16"/>
  <c r="H19" i="17"/>
  <c r="F15" i="21"/>
  <c r="H15" i="16"/>
  <c r="F19" i="18"/>
  <c r="H18" i="16"/>
  <c r="H17" i="18"/>
  <c r="H20" i="18"/>
  <c r="F10" i="16"/>
  <c r="F20" i="19"/>
  <c r="H19" i="18"/>
  <c r="H21" i="22"/>
  <c r="F16" i="16"/>
  <c r="H17" i="16"/>
  <c r="F21" i="16"/>
  <c r="F14" i="24"/>
  <c r="F15" i="24"/>
  <c r="H15" i="20"/>
  <c r="H19" i="19"/>
  <c r="H10" i="19"/>
  <c r="F20" i="24"/>
  <c r="H10" i="18"/>
  <c r="F13" i="17"/>
  <c r="F18" i="16"/>
  <c r="H12" i="18"/>
  <c r="H14" i="16"/>
  <c r="H18" i="24"/>
  <c r="H16" i="21"/>
  <c r="H16" i="18"/>
  <c r="H16" i="16"/>
  <c r="F14" i="16"/>
  <c r="F21" i="24"/>
  <c r="H19" i="22"/>
  <c r="F12" i="16"/>
  <c r="F18" i="19"/>
  <c r="F14" i="18"/>
  <c r="F15" i="18"/>
  <c r="F10" i="19"/>
  <c r="H16" i="24"/>
  <c r="H16" i="19"/>
  <c r="F19" i="16"/>
  <c r="H14" i="17"/>
  <c r="F12" i="19"/>
  <c r="F19" i="19"/>
  <c r="F15" i="16"/>
  <c r="H19" i="16"/>
  <c r="H20" i="16"/>
  <c r="H11" i="24"/>
  <c r="H16" i="22"/>
  <c r="H21" i="18"/>
  <c r="H15" i="18"/>
  <c r="F16" i="22"/>
  <c r="H21" i="19"/>
  <c r="H17" i="19"/>
  <c r="H19" i="20"/>
  <c r="F19" i="22"/>
  <c r="F17" i="18"/>
  <c r="F11" i="16"/>
  <c r="H13" i="21"/>
  <c r="F20" i="18"/>
  <c r="H11" i="21"/>
  <c r="H20" i="19"/>
  <c r="F18" i="18"/>
  <c r="F12" i="18"/>
  <c r="F11" i="22"/>
  <c r="F16" i="17"/>
  <c r="F16" i="20"/>
  <c r="H20" i="24"/>
  <c r="F12" i="24"/>
  <c r="H10" i="21"/>
  <c r="G18" i="17" l="1"/>
  <c r="D18" i="17"/>
  <c r="D18" i="21"/>
  <c r="D18" i="20"/>
  <c r="H9" i="22"/>
  <c r="E9" i="22"/>
  <c r="F9" i="22"/>
  <c r="A2" i="19"/>
  <c r="A2" i="18"/>
  <c r="A2" i="24"/>
  <c r="A2" i="16"/>
  <c r="H9" i="14"/>
  <c r="F9" i="14"/>
  <c r="E9" i="14"/>
  <c r="H9" i="17"/>
  <c r="F9" i="17"/>
  <c r="E9" i="17"/>
  <c r="H9" i="20"/>
  <c r="F9" i="20"/>
  <c r="E9" i="20"/>
  <c r="H9" i="21"/>
  <c r="F9" i="21"/>
  <c r="E9" i="21"/>
  <c r="H9" i="3"/>
  <c r="F18" i="21"/>
  <c r="F18" i="17"/>
  <c r="H16" i="20"/>
  <c r="F19" i="21"/>
  <c r="H18" i="17"/>
  <c r="F18" i="20"/>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2" i="3"/>
  <c r="F13" i="3"/>
  <c r="F16" i="3"/>
  <c r="H16" i="3"/>
  <c r="H13" i="3"/>
  <c r="F14" i="3"/>
  <c r="H14" i="3"/>
  <c r="D12" i="22" l="1"/>
  <c r="D15" i="22"/>
  <c r="H22" i="16"/>
  <c r="G15" i="3" s="1"/>
  <c r="F22" i="16"/>
  <c r="D15" i="3" s="1"/>
  <c r="F15" i="3"/>
  <c r="F15" i="22"/>
  <c r="H15" i="3"/>
  <c r="H12" i="22"/>
  <c r="F22" i="20" l="1"/>
  <c r="D11" i="3" s="1"/>
  <c r="H15" i="22"/>
  <c r="F12" i="22"/>
  <c r="F11" i="3"/>
  <c r="D14" i="22" l="1"/>
  <c r="H22" i="17"/>
  <c r="G12" i="3" s="1"/>
  <c r="H12" i="3"/>
  <c r="F14" i="22"/>
  <c r="F22" i="21" l="1"/>
  <c r="D10" i="3" s="1"/>
  <c r="F14" i="14"/>
  <c r="H19" i="21"/>
  <c r="H14" i="14"/>
  <c r="H18" i="20"/>
  <c r="H14" i="22"/>
  <c r="F10" i="3"/>
  <c r="D12" i="14" l="1"/>
  <c r="D11" i="14"/>
  <c r="D10" i="14"/>
  <c r="D13" i="22"/>
  <c r="G20" i="20"/>
  <c r="G18" i="21"/>
  <c r="F10" i="14"/>
  <c r="H18" i="21"/>
  <c r="H20" i="20"/>
  <c r="F12" i="14"/>
  <c r="H13" i="22"/>
  <c r="F11" i="14"/>
  <c r="D13" i="14" l="1"/>
  <c r="H22" i="21"/>
  <c r="G10" i="3" s="1"/>
  <c r="H22" i="20"/>
  <c r="G11" i="3" s="1"/>
  <c r="H11" i="3"/>
  <c r="F13" i="22"/>
  <c r="F13" i="14"/>
  <c r="H10" i="3"/>
  <c r="G12" i="14" l="1"/>
  <c r="G11" i="14"/>
  <c r="G10" i="14"/>
  <c r="F22" i="14"/>
  <c r="D17" i="3" s="1"/>
  <c r="H11" i="14"/>
  <c r="H12" i="14"/>
  <c r="F17" i="3"/>
  <c r="H10" i="14"/>
  <c r="G13" i="14" l="1"/>
  <c r="F22" i="3"/>
  <c r="H13" i="14"/>
  <c r="D18" i="22" l="1"/>
  <c r="D17" i="22"/>
  <c r="H22" i="14"/>
  <c r="G17" i="3" s="1"/>
  <c r="F17" i="22"/>
  <c r="H18" i="22"/>
  <c r="H17" i="3"/>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1C16DF87-33EA-4B64-96AD-6B26862F3623}">
      <text>
        <r>
          <rPr>
            <sz val="9"/>
            <color indexed="81"/>
            <rFont val="Tahoma"/>
            <family val="2"/>
          </rPr>
          <t>PV Benchmark Range:     $1172 - $1461            PV+ESS Range:          $1728 - $2365</t>
        </r>
      </text>
    </comment>
    <comment ref="H22" authorId="1" shapeId="0" xr:uid="{3572EE3F-0C60-498A-9889-2660440CAE23}">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EFB511E2-7B22-4C6F-89A6-ACF2707B4341}">
      <text>
        <r>
          <rPr>
            <sz val="9"/>
            <color indexed="81"/>
            <rFont val="Tahoma"/>
            <family val="2"/>
          </rPr>
          <t>Benchmark Range:     $211 - $289</t>
        </r>
      </text>
    </comment>
    <comment ref="H22" authorId="1" shapeId="0" xr:uid="{1B158C6F-BA18-4C1E-AFC3-3B45E6437A3B}">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2282929-ABFC-424B-BEBD-62DC3BA2C02F}">
      <text>
        <r>
          <rPr>
            <sz val="9"/>
            <color indexed="81"/>
            <rFont val="Tahoma"/>
            <family val="2"/>
          </rPr>
          <t>Benchmark Range:     $35 - $104</t>
        </r>
      </text>
    </comment>
    <comment ref="H22" authorId="1" shapeId="0" xr:uid="{EFBC38C2-B459-419B-BA44-828308E3A36D}">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4140C12A-0C16-47AA-A9B0-4C73CBAA0C5A}">
      <text>
        <r>
          <rPr>
            <sz val="9"/>
            <color indexed="81"/>
            <rFont val="Tahoma"/>
            <family val="2"/>
          </rPr>
          <t>Benchmark Range:     $148 - $272</t>
        </r>
      </text>
    </comment>
    <comment ref="H22" authorId="1" shapeId="0" xr:uid="{9FE0E9EF-066D-47D4-B2B8-21F0E1983237}">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DFCB015C-891C-4799-800E-B0785B39BF60}">
      <text>
        <r>
          <rPr>
            <sz val="9"/>
            <color indexed="81"/>
            <rFont val="Tahoma"/>
            <family val="2"/>
          </rPr>
          <t>PV Benchmark Range:     $28 - $47            PV+ESS Range:          $30 - $49</t>
        </r>
      </text>
    </comment>
    <comment ref="H22" authorId="1" shapeId="0" xr:uid="{982EFDDE-7669-470F-8A06-D9A76568D5F2}">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FF14F34F-9DC1-4D83-8915-F0C1B75C326E}">
      <text>
        <r>
          <rPr>
            <sz val="9"/>
            <color indexed="81"/>
            <rFont val="Tahoma"/>
            <family val="2"/>
          </rPr>
          <t>PV Benchmark Range:     $245 - $245            PV+ESS Range:          $245 - $245</t>
        </r>
      </text>
    </comment>
    <comment ref="H22" authorId="1" shapeId="0" xr:uid="{4626A371-3AC0-4B74-9810-E9BFADC0170B}">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263BA9FC-AC3D-499A-979A-74FB9F5218DF}">
      <text>
        <r>
          <rPr>
            <sz val="9"/>
            <color indexed="81"/>
            <rFont val="Tahoma"/>
            <family val="2"/>
          </rPr>
          <t>PV Benchmark Range:     $55 - $97            PV+ESS Range:          $88 - $130</t>
        </r>
      </text>
    </comment>
    <comment ref="H22" authorId="1" shapeId="0" xr:uid="{507C0FAC-2B1B-4962-B378-EBF43DD0B7A4}">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9A849697-7974-474B-82DD-E2E1648B3169}">
      <text>
        <r>
          <rPr>
            <sz val="9"/>
            <color indexed="81"/>
            <rFont val="Tahoma"/>
            <family val="2"/>
          </rPr>
          <t>PV Benchmark Range:     $148 - $165            PV+ESS Range:          $148 - $165</t>
        </r>
      </text>
    </comment>
    <comment ref="H22" authorId="1" shapeId="0" xr:uid="{AA4DC939-8123-4BC0-8541-0C15FF44E4BA}">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0ADB6818-F869-4880-9F67-FF2B13773676}">
      <text>
        <r>
          <rPr>
            <sz val="9"/>
            <color indexed="81"/>
            <rFont val="Tahoma"/>
            <family val="2"/>
          </rPr>
          <t>PV Benchmark Range:     $189 - $236            PV+ESS Range:          $276 - $381</t>
        </r>
      </text>
    </comment>
    <comment ref="H22" authorId="1" shapeId="0" xr:uid="{6DF1B925-4F64-48E6-B825-1DA9554BB376}">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8E34A2C6-F34C-4ACB-B964-6CA5F56D0014}">
      <text>
        <r>
          <rPr>
            <sz val="9"/>
            <color indexed="81"/>
            <rFont val="Tahoma"/>
            <family val="2"/>
          </rPr>
          <t>PV Benchmark Range:     $17 - $26            PV+ESS Range:          $35 - $57</t>
        </r>
      </text>
    </comment>
    <comment ref="H22" authorId="1" shapeId="0" xr:uid="{63B918B0-651A-425E-A828-0EE36DC77F09}">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<sst xmlns="http://schemas.openxmlformats.org/spreadsheetml/2006/main" count="697" uniqueCount="320">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</sst>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230.87340463178742</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144.99359558575523</c:v>
                </c:pt>
                <c:pt idx="1">
                  <c:v>146.8966883692604</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363.69361035918791</c:v>
                </c:pt>
                <c:pt idx="1">
                  <c:v>383.5981103591879</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356.50102184433263</c:v>
                </c:pt>
                <c:pt idx="1">
                  <c:v>364.00102184433263</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240.62893761739389</c:v>
                </c:pt>
                <c:pt idx="1">
                  <c:v>270.85731929079793</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1.4499359558575524</c:v>
                </c:pt>
                <c:pt idx="1">
                  <c:v>1.4499359558575524</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0.23087340463178743</c:v>
                </c:pt>
                <c:pt idx="1">
                  <c:v>0.23087340463178743</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3.1320670670842135</c:v>
                </c:pt>
                <c:pt idx="1">
                  <c:v>3.1320670670842135</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3.9150838338552667</c:v>
                </c:pt>
                <c:pt idx="1">
                  <c:v>3.9150838338552667</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17.069241200249351</c:v>
                </c:pt>
                <c:pt idx="1">
                  <c:v>17.069241200249351</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518.66999999999996</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230.87340463178742</v>
      </c>
      <c r="E10" s="30">
        <v>1</v>
      </c>
      <c r="F10" s="7">
        <f t="shared" ref="F10:F21" si="0">E10*D10*includerow(I10,IncludeESS,IncludeIndirect)</f>
        <v>230.87340463178742</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28.998719117151047</v>
      </c>
      <c r="E13" s="30">
        <f>1/ModuleEfficiency</f>
        <v>5</v>
      </c>
      <c r="F13" s="7">
        <f t="shared" si="0"/>
        <v>144.99359558575523</v>
      </c>
      <c r="G13" s="49">
        <f>SBOSMMP</f>
        <v>29.379337673852078</v>
      </c>
      <c r="H13" s="7">
        <f t="shared" si="1"/>
        <v>146.8966883692604</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72.738722071837586</v>
      </c>
      <c r="E15" s="30">
        <f>1/ModuleEfficiency</f>
        <v>5</v>
      </c>
      <c r="F15" s="7">
        <f t="shared" si="0"/>
        <v>363.69361035918791</v>
      </c>
      <c r="G15" s="49">
        <f>FieldworkMMP</f>
        <v>76.719622071837577</v>
      </c>
      <c r="H15" s="7">
        <f t="shared" si="1"/>
        <v>383.5981103591879</v>
      </c>
      <c r="I15" s="37"/>
      <c r="J15" s="2"/>
      <c r="K15"/>
      <c r="L15"/>
      <c r="M15"/>
      <c r="N15"/>
      <c r="O15"/>
      <c r="P15"/>
      <c r="Q15"/>
      <c r="R15"/>
      <c r="S15"/>
      <c r="T15"/>
    </row>
    <row r="16" spans="1:20" ht="18" customHeight="1">
      <c r="A16" s="13" t="s">
        <v>41</v>
      </c>
      <c r="B16" s="34" t="s">
        <v>82</v>
      </c>
      <c r="C16" s="24" t="str">
        <f>OfficeworkUnit</f>
        <v>kWdc</v>
      </c>
      <c r="D16" s="49">
        <f>OfficeworkMSP</f>
        <v>356.50102184433263</v>
      </c>
      <c r="E16" s="30">
        <v>1</v>
      </c>
      <c r="F16" s="7">
        <f t="shared" si="0"/>
        <v>356.50102184433263</v>
      </c>
      <c r="G16" s="49">
        <f>OfficeworkMMP</f>
        <v>364.00102184433263</v>
      </c>
      <c r="H16" s="7">
        <f t="shared" si="1"/>
        <v>364.00102184433263</v>
      </c>
      <c r="I16" s="37" t="s">
        <v>83</v>
      </c>
      <c r="J16" s="2"/>
      <c r="K16"/>
      <c r="L16"/>
      <c r="M16"/>
      <c r="N16"/>
      <c r="O16"/>
      <c r="P16"/>
      <c r="Q16"/>
      <c r="R16"/>
      <c r="S16"/>
      <c r="T16"/>
    </row>
    <row r="17" spans="1:20" ht="18" customHeight="1">
      <c r="A17" s="13" t="s">
        <v>11</v>
      </c>
      <c r="B17" s="65" t="s">
        <v>84</v>
      </c>
      <c r="C17" s="24" t="str">
        <f>OtherUnit</f>
        <v>kWdc</v>
      </c>
      <c r="D17" s="49">
        <f>OtherMSP</f>
        <v>240.62893761739389</v>
      </c>
      <c r="E17" s="30">
        <v>1</v>
      </c>
      <c r="F17" s="7">
        <f t="shared" si="0"/>
        <v>240.62893761739389</v>
      </c>
      <c r="G17" s="49">
        <f>OtherMMP</f>
        <v>270.85731929079793</v>
      </c>
      <c r="H17" s="7">
        <f t="shared" si="1"/>
        <v>270.85731929079793</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1566.0335335421066</v>
      </c>
      <c r="G22" s="15" t="s">
        <v>61</v>
      </c>
      <c r="H22" s="8">
        <f>SUM(H10:H21)</f>
        <v>1750.2582493526302</v>
      </c>
      <c r="I22"/>
      <c r="J22"/>
    </row>
  </sheetData>
  <sheetProtection algorithmName="SHA-512" hashValue="ou4jNEXxZ2kRRCxh7NOpYDFUTaA6j2YJ35ai2EsPfq5z2GNHK4v3BTUUjJ9OL9CYWIzimtccl0lkleeLPrF7zw==" saltValue="Q0LLpm6SbPqLdnSK9L+t8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7.7931616026983654</v>
      </c>
      <c r="F11" s="7">
        <f t="shared" si="0"/>
        <v>11.689742404047548</v>
      </c>
      <c r="G11" s="10"/>
      <c r="H11" s="12">
        <f t="shared" si="1"/>
        <v>11.689742404047548</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0.68003155346408073</v>
      </c>
      <c r="F13" s="7">
        <f t="shared" si="0"/>
        <v>4.2841987868237084</v>
      </c>
      <c r="G13" s="10"/>
      <c r="H13" s="12">
        <f t="shared" si="1"/>
        <v>4.2841987868237084</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13.603857998739302</v>
      </c>
      <c r="E18" s="30">
        <v>1</v>
      </c>
      <c r="F18" s="7">
        <f t="shared" si="0"/>
        <v>13.603857998739302</v>
      </c>
      <c r="G18" s="75">
        <f>ModuleMarketPrice-SUM(H10:H17,H19:H21)</f>
        <v>103.4243309179723</v>
      </c>
      <c r="H18" s="12">
        <f t="shared" si="1"/>
        <v>103.4243309179723</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230.87340463178742</v>
      </c>
      <c r="G22" s="15" t="s">
        <v>61</v>
      </c>
      <c r="H22" s="8">
        <f>SUM(H10:H21)</f>
        <v>336</v>
      </c>
      <c r="I22"/>
      <c r="J22"/>
    </row>
    <row r="23" spans="1:10">
      <c r="F23" s="11"/>
    </row>
  </sheetData>
  <sheetProtection algorithmName="SHA-512" hashValue="9TQIX9WHE6WM0Iy51vSEsrOr0D3r6Qwf1w38rNo0lkUPK+NnSQdOxKStKxQEXUiW4WS69Ua8sgV6cZQEMHy70w==" saltValue="YRLEVGRBhiNYL5rqux7k7w=="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y4KcVtvvG+6e80TnEFb3+NJAHTsqFllKvXcSzD41k0al/HoAAp3ZLMJ8gHo8n5UmkPG604xIc3bgIyE05Bl0TA==" saltValue="nulW6NY8YZlxfOb5CnnW1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EVYpNZxqWOYTQUKNUnVs4pP0dsAwvJTmQepWEkFaxzPkejjcKFLGR+Rouhj4Nth2B+vVKATRks7TN2oDmjTTbg==" saltValue="AeT480/P79u3QqUNL6QZr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2593.3499999999995</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3.3631224451734609E-2</v>
      </c>
      <c r="F11" s="7">
        <f t="shared" si="0"/>
        <v>6.7262448903469219</v>
      </c>
      <c r="G11" s="5"/>
      <c r="H11" s="12">
        <f t="shared" si="1"/>
        <v>6.7262448903469219</v>
      </c>
      <c r="I11" s="61"/>
      <c r="J11" s="2" t="s">
        <v>137</v>
      </c>
    </row>
    <row r="12" spans="1:15" ht="18" customHeight="1">
      <c r="A12" s="13" t="s">
        <v>138</v>
      </c>
      <c r="B12" s="6"/>
      <c r="C12" s="28" t="s">
        <v>89</v>
      </c>
      <c r="D12" s="4">
        <v>2.1</v>
      </c>
      <c r="E12" s="30">
        <f>1/ModuleWidth</f>
        <v>0.51546391752577325</v>
      </c>
      <c r="F12" s="7">
        <f t="shared" si="0"/>
        <v>1.0824742268041239</v>
      </c>
      <c r="G12" s="67">
        <f>D12*(1+Tariff301)</f>
        <v>2.625</v>
      </c>
      <c r="H12" s="12">
        <f t="shared" si="1"/>
        <v>1.3530927835051547</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28.998719117151047</v>
      </c>
      <c r="G22" s="15" t="s">
        <v>61</v>
      </c>
      <c r="H22" s="8">
        <f>SUM(H10:H21)</f>
        <v>29.379337673852078</v>
      </c>
      <c r="I22"/>
      <c r="J22"/>
    </row>
    <row r="23" spans="1:10">
      <c r="F23" s="11"/>
    </row>
  </sheetData>
  <sheetProtection algorithmName="SHA-512" hashValue="bdDtCD+OYf9arNZ5+u1CHe2HMFIHwMN8GJTQZb4L26wK4fkVPdKDcs5LICyN/NJnO6P+YWleBsd/D9kKxdf2CA==" saltValue="WBnUOjmD0lcIL0HEl3pEQQ=="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378.59124087591238</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t+QWdd/rAuAUX9k1uCaKk6qyMHudXMKk8wOJYABzKCfnWv6yJXwwcaw3ik+tqQsfcGLHN78OdX8PXzzi3aXOsg==" saltValue="6HzLCL55NmLkoGJTfd/ZDg=="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2593.3499999999995</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9.3496057223282634</v>
      </c>
      <c r="G13" s="5"/>
      <c r="H13" s="12">
        <f t="shared" si="1"/>
        <v>9.3496057223282634</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3.8560163495093227</v>
      </c>
      <c r="G15" s="4"/>
      <c r="H15" s="12">
        <f t="shared" si="1"/>
        <v>3.8560163495093227</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72.738722071837586</v>
      </c>
      <c r="G22" s="15" t="s">
        <v>61</v>
      </c>
      <c r="H22" s="8">
        <f>SUM(H10:H21)</f>
        <v>76.719622071837577</v>
      </c>
      <c r="I22"/>
      <c r="J22"/>
    </row>
    <row r="23" spans="1:10">
      <c r="F23" s="11"/>
    </row>
  </sheetData>
  <sheetProtection algorithmName="SHA-512" hashValue="QMc9RPiFJz7qQkhqCVVyxcJAvOj20GbEwFLQ8Xa6r6bNcHjsDQ5ylIiFjXsgbezg+7iHpv95nVpe7xtsWBL+uw==" saltValue="yPzOyRByo7+GYMMYN39vl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518.66999999999996</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159.96057223282628</v>
      </c>
      <c r="G12" s="5"/>
      <c r="H12" s="12">
        <f t="shared" si="1"/>
        <v>159.96057223282628</v>
      </c>
      <c r="I12" s="37"/>
      <c r="J12" s="2" t="s">
        <v>302</v>
      </c>
    </row>
    <row r="13" spans="1:15" ht="18" customHeight="1">
      <c r="A13" s="13" t="s">
        <v>163</v>
      </c>
      <c r="B13" s="6">
        <v>25000</v>
      </c>
      <c r="C13" s="28"/>
      <c r="D13" s="4"/>
      <c r="E13" s="30"/>
      <c r="F13" s="7">
        <f t="shared" si="0"/>
        <v>48.20020436886653</v>
      </c>
      <c r="G13" s="5"/>
      <c r="H13" s="12">
        <f t="shared" si="1"/>
        <v>48.20020436886653</v>
      </c>
      <c r="I13" s="37"/>
      <c r="J13" s="2" t="s">
        <v>164</v>
      </c>
    </row>
    <row r="14" spans="1:15" ht="18" customHeight="1">
      <c r="A14" s="13" t="s">
        <v>303</v>
      </c>
      <c r="B14" s="6">
        <v>30000</v>
      </c>
      <c r="C14" s="28" t="s">
        <v>22</v>
      </c>
      <c r="D14" s="4">
        <v>60</v>
      </c>
      <c r="E14" s="30">
        <v>1</v>
      </c>
      <c r="F14" s="7">
        <f t="shared" si="0"/>
        <v>117.84024524263984</v>
      </c>
      <c r="G14" s="5"/>
      <c r="H14" s="12">
        <f t="shared" si="1"/>
        <v>117.84024524263984</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356.50102184433263</v>
      </c>
      <c r="G22" s="15" t="s">
        <v>61</v>
      </c>
      <c r="H22" s="8">
        <f>SUM(H10:H21)</f>
        <v>364.00102184433263</v>
      </c>
      <c r="I22"/>
      <c r="J22"/>
    </row>
    <row r="23" spans="1:10">
      <c r="F23" s="11"/>
    </row>
  </sheetData>
  <sheetProtection algorithmName="SHA-512" hashValue="Xlu3p9/hE2F5X8Ek5UvlBCduZWj6X6hL6xXMcFUWpDbgWDCO7ZAxSaK9cwrDrGdnAey0iCqo9AsqrpPjynR1xQ==" saltValue="1hRV3Fa4KVoho8HH+rgR/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35.102177895829151</v>
      </c>
      <c r="E10" s="30">
        <v>1</v>
      </c>
      <c r="F10" s="7">
        <f t="shared" ref="F10:F21" si="0">($B10/$A$3+$E10*$D10)*includerow($I10,IncludeESS,IncludeIndirect)</f>
        <v>35.102177895829151</v>
      </c>
      <c r="G10" s="67">
        <f>B10/$A$3+(SysModuleMMP+SysInverterMMP+SysESSMMP+SysSBOSMMP+SysEBOSMMP)*SalesTaxRate</f>
        <v>42.444504275782073</v>
      </c>
      <c r="H10" s="12">
        <f t="shared" ref="H10:H21" si="1">IF($G10&lt;&gt;0,$G10*$E10*includerow($I10,IncludeESS,IncludeIndirect),($B10/$A$3+$D10*$E10)*includerow($I10,IncludeESS,IncludeIndirect))</f>
        <v>42.444504275782073</v>
      </c>
      <c r="I10" s="37"/>
      <c r="J10" s="2" t="s">
        <v>167</v>
      </c>
    </row>
    <row r="11" spans="1:15" ht="18" customHeight="1">
      <c r="A11" s="13" t="s">
        <v>168</v>
      </c>
      <c r="B11" s="6"/>
      <c r="C11" s="28" t="s">
        <v>22</v>
      </c>
      <c r="D11" s="66">
        <f>(SysModuleMSP+SysInverterMSP+SysESSMSP+SysSBOSMSP+SysEBOSMSP+SysFieldworkMSP+SysOfficeworkMSP)*ContingencyRate</f>
        <v>66.27022979623564</v>
      </c>
      <c r="E11" s="30">
        <v>1</v>
      </c>
      <c r="F11" s="7">
        <f t="shared" si="0"/>
        <v>66.27022979623564</v>
      </c>
      <c r="G11" s="67">
        <f>B11/$A$3+(SysModuleMMP+SysInverterMMP+SysESSMMP+SysSBOSMMP+SysEBOSMMP+SysFieldworkMMP+SysOfficeworkMMP)*ContingencyRate</f>
        <v>73.970046503091609</v>
      </c>
      <c r="H11" s="12">
        <f t="shared" si="1"/>
        <v>73.970046503091609</v>
      </c>
      <c r="I11" s="37"/>
      <c r="J11" s="2" t="s">
        <v>169</v>
      </c>
    </row>
    <row r="12" spans="1:15" ht="18" customHeight="1">
      <c r="A12" s="13" t="s">
        <v>170</v>
      </c>
      <c r="B12" s="6">
        <v>1000000</v>
      </c>
      <c r="C12" s="28" t="s">
        <v>22</v>
      </c>
      <c r="D12" s="66">
        <f>(SysModuleMSP+SysInverterMSP+SysESSMSP+SysSBOSMSP+SysEBOSMSP+SysFieldworkMSP+SysOfficeworkMSP)*OverheadRate</f>
        <v>13.254045959247128</v>
      </c>
      <c r="E12" s="30">
        <v>1</v>
      </c>
      <c r="F12" s="7">
        <f t="shared" si="0"/>
        <v>23.254045959247129</v>
      </c>
      <c r="G12" s="67">
        <f>B12/$A$3+(SysModuleMMP+SysInverterMMP+SysESSMMP+SysSBOSMMP+SysEBOSMMP+SysFieldworkMMP+SysOfficeworkMMP)*OverheadRate</f>
        <v>24.79400930061832</v>
      </c>
      <c r="H12" s="12">
        <f t="shared" si="1"/>
        <v>24.79400930061832</v>
      </c>
      <c r="I12" s="37"/>
      <c r="J12" s="2" t="s">
        <v>171</v>
      </c>
    </row>
    <row r="13" spans="1:15" ht="18" customHeight="1">
      <c r="A13" s="13" t="s">
        <v>107</v>
      </c>
      <c r="B13" s="6"/>
      <c r="C13" s="28" t="s">
        <v>22</v>
      </c>
      <c r="D13" s="66">
        <f>( SysModuleMSP+ SysInverterMSP+ SysESSMSP+ SysSBOSMSP+ SysEBOSMSP+ SysFieldworkMSP+ SysOfficeworkMSP+SUM(F10:F12))* DeveloperProfitMSP</f>
        <v>116.00248396608198</v>
      </c>
      <c r="E13" s="30">
        <v>1</v>
      </c>
      <c r="F13" s="7">
        <f t="shared" si="0"/>
        <v>116.00248396608198</v>
      </c>
      <c r="G13" s="67">
        <f>B13/$A$3+(SysModuleMMP+SysInverterMMP+SysESSMMP+SysSBOSMMP+SysEBOSMMP+SysFieldworkMMP+SysOfficeworkMMP+SUM(H10:H12))*DeveloperProfitMMP</f>
        <v>129.64875921130593</v>
      </c>
      <c r="H13" s="12">
        <f t="shared" si="1"/>
        <v>129.64875921130593</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240.62893761739389</v>
      </c>
      <c r="G22" s="15" t="s">
        <v>61</v>
      </c>
      <c r="H22" s="8">
        <f>SUM(H10:H21)</f>
        <v>270.85731929079793</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7X0ch4xMBVch3n19FIBCLnhr7rUZaA8YFjKww8FPC8vXukvACEa0eU+TA5egXg5N91+gMEPnIoeceIAQWpRZAw==" saltValue="QuAHgXEPYX47v8TjMkTzHg=="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518.66999999999996</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144.99359558575523</v>
      </c>
      <c r="E12" s="30">
        <f>PartsLossRate/ModuleEfficiency</f>
        <v>0.01</v>
      </c>
      <c r="F12" s="7">
        <f t="shared" si="0"/>
        <v>1.4499359558575524</v>
      </c>
      <c r="G12" s="5"/>
      <c r="H12" s="12">
        <f t="shared" si="1"/>
        <v>1.4499359558575524</v>
      </c>
      <c r="I12" s="37"/>
      <c r="J12" s="2" t="s">
        <v>178</v>
      </c>
    </row>
    <row r="13" spans="1:15" ht="18" customHeight="1">
      <c r="A13" s="13" t="s">
        <v>179</v>
      </c>
      <c r="B13" s="6"/>
      <c r="C13" s="28" t="s">
        <v>22</v>
      </c>
      <c r="D13" s="66">
        <f>SysModuleMSP</f>
        <v>230.87340463178742</v>
      </c>
      <c r="E13" s="30">
        <f>ModuleLossRate</f>
        <v>1E-3</v>
      </c>
      <c r="F13" s="7">
        <f t="shared" si="0"/>
        <v>0.23087340463178743</v>
      </c>
      <c r="G13" s="5"/>
      <c r="H13" s="12">
        <f t="shared" si="1"/>
        <v>0.23087340463178743</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3.1320670670842135</v>
      </c>
      <c r="E17" s="30">
        <f>IncludeIndirect*1</f>
        <v>1</v>
      </c>
      <c r="F17" s="7">
        <f t="shared" si="0"/>
        <v>3.1320670670842135</v>
      </c>
      <c r="G17" s="4"/>
      <c r="H17" s="12">
        <f t="shared" si="1"/>
        <v>3.1320670670842135</v>
      </c>
      <c r="I17" s="37" t="s">
        <v>83</v>
      </c>
      <c r="J17" s="2" t="s">
        <v>189</v>
      </c>
    </row>
    <row r="18" spans="1:10" ht="18" customHeight="1">
      <c r="A18" s="13" t="s">
        <v>190</v>
      </c>
      <c r="B18" s="6"/>
      <c r="C18" s="29" t="s">
        <v>188</v>
      </c>
      <c r="D18" s="66">
        <f>SystemMSP*InsuranceRate</f>
        <v>3.9150838338552667</v>
      </c>
      <c r="E18" s="30">
        <f>IncludeIndirect*1</f>
        <v>1</v>
      </c>
      <c r="F18" s="7">
        <f t="shared" si="0"/>
        <v>3.9150838338552667</v>
      </c>
      <c r="G18" s="4"/>
      <c r="H18" s="12">
        <f t="shared" si="1"/>
        <v>3.9150838338552667</v>
      </c>
      <c r="I18" s="37" t="s">
        <v>83</v>
      </c>
      <c r="J18" s="2" t="s">
        <v>305</v>
      </c>
    </row>
    <row r="19" spans="1:10" ht="18" customHeight="1">
      <c r="A19" s="13" t="s">
        <v>170</v>
      </c>
      <c r="B19" s="6">
        <v>8853.3033333333296</v>
      </c>
      <c r="C19" s="29"/>
      <c r="D19" s="4"/>
      <c r="E19" s="30"/>
      <c r="F19" s="7">
        <f t="shared" si="0"/>
        <v>17.069241200249351</v>
      </c>
      <c r="G19" s="4"/>
      <c r="H19" s="12">
        <f t="shared" si="1"/>
        <v>17.069241200249351</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37.023257145696149</v>
      </c>
      <c r="G22" s="15" t="s">
        <v>61</v>
      </c>
      <c r="H22" s="8">
        <f>SUM(H10:H21)</f>
        <v>37.023257145696149</v>
      </c>
      <c r="I22"/>
      <c r="J22"/>
    </row>
    <row r="23" spans="1:10">
      <c r="F23" s="11"/>
    </row>
  </sheetData>
  <sheetProtection algorithmName="SHA-512" hashValue="wsLFM+dBV60zmqcOmBzThWDO2ZQAKPiQ1iONNnvz4by2Ep7PW0rWpEAUV9sPKuNmcpArp2AZRoruDyruaU6UAw==" saltValue="hCl3xzHDxlnIPEnAG7U6J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3.79</v>
      </c>
      <c r="D10" s="37" t="s">
        <v>89</v>
      </c>
      <c r="E10" s="59" t="str">
        <f t="shared" si="0"/>
        <v>/</v>
      </c>
      <c r="F10" s="37"/>
      <c r="G10" s="58"/>
      <c r="H10" s="2"/>
    </row>
    <row r="11" spans="1:8">
      <c r="A11" s="13" t="s">
        <v>1</v>
      </c>
      <c r="B11" s="13" t="s">
        <v>203</v>
      </c>
      <c r="C11" s="2">
        <v>1.94</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tRbMSO4orIpJwA5XdWlnX9nC/yezcaimlZsc5noPZu6E3QUAuThPc+XnRHeLWveuWAzDodCMfVLjdjLSWZo9nA==" saltValue="sHl/3regqdyohOCsfXvwrg=="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2026-04-15T03:15:29Z</dcterms:modified>
</cp:coreProperties>
</file>