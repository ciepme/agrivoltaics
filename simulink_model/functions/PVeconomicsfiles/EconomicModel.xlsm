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1112E780-D088-4D33-BBA5-2120ECEE298E}" xr6:coauthVersionLast="47" xr6:coauthVersionMax="47" xr10:uidLastSave="{00000000-0000-0000-0000-000000000000}"/>
  <bookViews>
    <workbookView xWindow="9600" yWindow="554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F21" i="22" s="1"/>
  <c r="E12" i="24"/>
  <c r="E11" i="24"/>
  <c r="E10" i="24"/>
  <c r="H10" i="24" s="1"/>
  <c r="B3" i="24"/>
  <c r="C16" i="3" s="1"/>
  <c r="A3" i="24"/>
  <c r="F17" i="24" s="1"/>
  <c r="E14" i="16"/>
  <c r="E13" i="16"/>
  <c r="E12" i="16"/>
  <c r="E11" i="16"/>
  <c r="H11" i="16" s="1"/>
  <c r="E10" i="16"/>
  <c r="H10" i="16" s="1"/>
  <c r="A3" i="16"/>
  <c r="F20" i="16" s="1"/>
  <c r="E16" i="18"/>
  <c r="E15" i="18"/>
  <c r="G14" i="18"/>
  <c r="H14" i="18" s="1"/>
  <c r="G11" i="18"/>
  <c r="H11" i="18" s="1"/>
  <c r="A3" i="18"/>
  <c r="F10" i="18" s="1"/>
  <c r="E15" i="19"/>
  <c r="E14" i="19"/>
  <c r="G13" i="19"/>
  <c r="H13" i="19" s="1"/>
  <c r="E13" i="19"/>
  <c r="G12" i="19"/>
  <c r="H12" i="19" s="1"/>
  <c r="E12" i="19"/>
  <c r="E11" i="19"/>
  <c r="E10" i="19"/>
  <c r="A3" i="19"/>
  <c r="F15" i="19" s="1"/>
  <c r="G20" i="17"/>
  <c r="H20" i="17" s="1"/>
  <c r="E19" i="17"/>
  <c r="F19" i="17" s="1"/>
  <c r="E16" i="17"/>
  <c r="H16" i="17" s="1"/>
  <c r="E15" i="17"/>
  <c r="H15" i="17" s="1"/>
  <c r="E14" i="17"/>
  <c r="F14" i="17" s="1"/>
  <c r="E13" i="17"/>
  <c r="H13" i="17" s="1"/>
  <c r="G10" i="17"/>
  <c r="H10" i="17" s="1"/>
  <c r="E19" i="20"/>
  <c r="F19" i="20" s="1"/>
  <c r="E16" i="20"/>
  <c r="E15" i="20"/>
  <c r="F15" i="20" s="1"/>
  <c r="E14" i="20"/>
  <c r="H14" i="20" s="1"/>
  <c r="E19" i="21"/>
  <c r="E16" i="21"/>
  <c r="F16" i="21" s="1"/>
  <c r="E15" i="21"/>
  <c r="H15" i="21" s="1"/>
  <c r="E14" i="21"/>
  <c r="F14" i="21" s="1"/>
  <c r="E13" i="21"/>
  <c r="F13" i="21" s="1"/>
  <c r="E12" i="21"/>
  <c r="F12" i="21" s="1"/>
  <c r="E11" i="21"/>
  <c r="F11" i="21" s="1"/>
  <c r="E10" i="21"/>
  <c r="F10" i="21" s="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8" i="14"/>
  <c r="F18" i="3"/>
  <c r="F10" i="17"/>
  <c r="F18" i="14"/>
  <c r="F17" i="21"/>
  <c r="H21" i="3"/>
  <c r="F20" i="21"/>
  <c r="F13" i="20"/>
  <c r="F21" i="17"/>
  <c r="F12" i="17"/>
  <c r="F15" i="14"/>
  <c r="H15" i="14"/>
  <c r="F16" i="14"/>
  <c r="H17" i="21"/>
  <c r="H18" i="3"/>
  <c r="H12" i="17"/>
  <c r="H17" i="14"/>
  <c r="H19" i="14"/>
  <c r="F17" i="14"/>
  <c r="F21" i="14"/>
  <c r="H17" i="20"/>
  <c r="H20" i="21"/>
  <c r="H11" i="20"/>
  <c r="F20" i="20"/>
  <c r="H20" i="14"/>
  <c r="F21" i="20"/>
  <c r="H16" i="14"/>
  <c r="H21" i="21"/>
  <c r="H10" i="20"/>
  <c r="F17" i="17"/>
  <c r="F11" i="17"/>
  <c r="H11" i="17"/>
  <c r="F20" i="17"/>
  <c r="F19" i="14"/>
  <c r="H12" i="20"/>
  <c r="H20" i="3"/>
  <c r="F11" i="20"/>
  <c r="F21" i="3"/>
  <c r="H21" i="14"/>
  <c r="H21" i="20"/>
  <c r="F20" i="3"/>
  <c r="H17" i="17"/>
  <c r="H19" i="3"/>
  <c r="F10" i="20"/>
  <c r="F17" i="20"/>
  <c r="H13" i="20"/>
  <c r="H21" i="17"/>
  <c r="F19" i="3"/>
  <c r="F21" i="21"/>
  <c r="F12" i="20"/>
  <c r="F20" i="14"/>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9"/>
  <c r="H21" i="18"/>
  <c r="F12" i="18"/>
  <c r="H19" i="18"/>
  <c r="H19" i="19"/>
  <c r="H17" i="18"/>
  <c r="H10" i="22"/>
  <c r="H19" i="17"/>
  <c r="F12" i="19"/>
  <c r="F16" i="17"/>
  <c r="H19" i="24"/>
  <c r="F20" i="19"/>
  <c r="H17" i="19"/>
  <c r="F20" i="22"/>
  <c r="F20" i="18"/>
  <c r="H18" i="19"/>
  <c r="H15" i="19"/>
  <c r="H21" i="19"/>
  <c r="F16" i="16"/>
  <c r="F14" i="19"/>
  <c r="F19" i="16"/>
  <c r="H19" i="22"/>
  <c r="F17" i="16"/>
  <c r="F19" i="22"/>
  <c r="H11" i="22"/>
  <c r="H16" i="24"/>
  <c r="H13" i="24"/>
  <c r="H19" i="16"/>
  <c r="F13" i="17"/>
  <c r="H18" i="24"/>
  <c r="H20" i="24"/>
  <c r="H11" i="21"/>
  <c r="H12" i="18"/>
  <c r="F11" i="19"/>
  <c r="F19" i="18"/>
  <c r="F13" i="16"/>
  <c r="F14" i="24"/>
  <c r="F10" i="24"/>
  <c r="H15" i="24"/>
  <c r="F21" i="18"/>
  <c r="H20" i="22"/>
  <c r="F14" i="20"/>
  <c r="H14" i="16"/>
  <c r="F13" i="18"/>
  <c r="F17" i="18"/>
  <c r="F16" i="22"/>
  <c r="H21" i="16"/>
  <c r="H18" i="16"/>
  <c r="F11" i="18"/>
  <c r="H13" i="21"/>
  <c r="F13" i="19"/>
  <c r="F15" i="21"/>
  <c r="D18" i="21" s="1"/>
  <c r="H12" i="21"/>
  <c r="H15" i="16"/>
  <c r="H12" i="24"/>
  <c r="F19" i="24"/>
  <c r="H20" i="19"/>
  <c r="F13" i="24"/>
  <c r="H21" i="22"/>
  <c r="F11" i="16"/>
  <c r="H20" i="18"/>
  <c r="H18" i="18"/>
  <c r="F12" i="24"/>
  <c r="F17" i="19"/>
  <c r="F20" i="24"/>
  <c r="H16" i="16"/>
  <c r="H10" i="18"/>
  <c r="F21" i="24"/>
  <c r="H11" i="24"/>
  <c r="H16" i="21"/>
  <c r="H21" i="24"/>
  <c r="H17" i="16"/>
  <c r="H17" i="24"/>
  <c r="F11" i="22"/>
  <c r="F18" i="18"/>
  <c r="H15" i="20"/>
  <c r="H14" i="21"/>
  <c r="F21" i="16"/>
  <c r="H14" i="17"/>
  <c r="G18" i="17" s="1"/>
  <c r="F18" i="16"/>
  <c r="H13" i="16"/>
  <c r="F16" i="20"/>
  <c r="H11" i="19"/>
  <c r="F18" i="19"/>
  <c r="H16" i="18"/>
  <c r="F15" i="16"/>
  <c r="F15" i="24"/>
  <c r="F15" i="17"/>
  <c r="F16" i="18"/>
  <c r="H14" i="19"/>
  <c r="F15" i="18"/>
  <c r="F10" i="22"/>
  <c r="F12" i="16"/>
  <c r="H14" i="24"/>
  <c r="H10" i="19"/>
  <c r="H16" i="19"/>
  <c r="F18" i="24"/>
  <c r="H10" i="21"/>
  <c r="H19" i="20"/>
  <c r="F21" i="19"/>
  <c r="F11" i="24"/>
  <c r="H13" i="18"/>
  <c r="F10" i="16"/>
  <c r="H20" i="16"/>
  <c r="F19" i="19"/>
  <c r="F16" i="24"/>
  <c r="F10" i="19"/>
  <c r="H15" i="18"/>
  <c r="H12" i="16"/>
  <c r="H16" i="22"/>
  <c r="F14" i="18"/>
  <c r="F14" i="16"/>
  <c r="D18" i="17" l="1"/>
  <c r="D18" i="20"/>
  <c r="H9" i="22"/>
  <c r="E9" i="22"/>
  <c r="F9" i="22"/>
  <c r="A2" i="19"/>
  <c r="A2" i="18"/>
  <c r="A2" i="24"/>
  <c r="A2" i="16"/>
  <c r="H9" i="14"/>
  <c r="F9" i="14"/>
  <c r="E9" i="14"/>
  <c r="H9" i="17"/>
  <c r="F9" i="17"/>
  <c r="E9" i="17"/>
  <c r="H9" i="20"/>
  <c r="F9" i="20"/>
  <c r="E9" i="20"/>
  <c r="H9" i="21"/>
  <c r="F9" i="21"/>
  <c r="E9" i="21"/>
  <c r="H9" i="3"/>
  <c r="H16" i="20"/>
  <c r="F18" i="21"/>
  <c r="F19" i="21"/>
  <c r="H18" i="17"/>
  <c r="F18" i="20"/>
  <c r="F18" i="17"/>
  <c r="G18" i="20" l="1"/>
  <c r="E9" i="24"/>
  <c r="H9" i="19"/>
  <c r="F9" i="3"/>
  <c r="E9" i="3"/>
  <c r="E9" i="18"/>
  <c r="F9" i="18"/>
  <c r="H9" i="18"/>
  <c r="H9" i="24"/>
  <c r="F9" i="24"/>
  <c r="E9" i="16"/>
  <c r="F9" i="16"/>
  <c r="H9" i="16"/>
  <c r="F22" i="17" l="1"/>
  <c r="D12" i="3" s="1"/>
  <c r="F12" i="3" s="1"/>
  <c r="D15" i="22" s="1"/>
  <c r="F9" i="19"/>
  <c r="E9" i="19"/>
  <c r="F22" i="19"/>
  <c r="D13" i="3" s="1"/>
  <c r="F13" i="3" s="1"/>
  <c r="D12" i="22" s="1"/>
  <c r="H22" i="24"/>
  <c r="G16" i="3" s="1"/>
  <c r="H16" i="3" s="1"/>
  <c r="F22" i="24"/>
  <c r="D16" i="3" s="1"/>
  <c r="F16" i="3" s="1"/>
  <c r="F22" i="18"/>
  <c r="D14" i="3" s="1"/>
  <c r="F14" i="3" s="1"/>
  <c r="H22" i="19"/>
  <c r="G13" i="3" s="1"/>
  <c r="H13" i="3" s="1"/>
  <c r="H22" i="18"/>
  <c r="G14" i="3" s="1"/>
  <c r="H14" i="3" s="1"/>
  <c r="H22" i="16" l="1"/>
  <c r="G15" i="3" s="1"/>
  <c r="H15" i="3" s="1"/>
  <c r="F22" i="16"/>
  <c r="D15" i="3" s="1"/>
  <c r="F15" i="3" s="1"/>
  <c r="H12" i="22"/>
  <c r="F15" i="22"/>
  <c r="F22" i="20" l="1"/>
  <c r="D11" i="3" s="1"/>
  <c r="F11" i="3" s="1"/>
  <c r="D14" i="22" s="1"/>
  <c r="H15" i="22"/>
  <c r="F12" i="22"/>
  <c r="H22" i="17" l="1"/>
  <c r="G12" i="3" s="1"/>
  <c r="H12" i="3" s="1"/>
  <c r="F14" i="22"/>
  <c r="F22" i="21" l="1"/>
  <c r="D10" i="3" s="1"/>
  <c r="F10" i="3" s="1"/>
  <c r="H14" i="14"/>
  <c r="H19" i="21"/>
  <c r="G18" i="21" s="1"/>
  <c r="H14" i="22"/>
  <c r="F14" i="14"/>
  <c r="D10" i="14" l="1"/>
  <c r="F10" i="14" s="1"/>
  <c r="D13" i="22"/>
  <c r="H13" i="22" s="1"/>
  <c r="D11" i="14"/>
  <c r="F11" i="14" s="1"/>
  <c r="D12" i="14"/>
  <c r="F12" i="14" s="1"/>
  <c r="H18" i="21"/>
  <c r="D13" i="14" l="1"/>
  <c r="F13" i="14"/>
  <c r="H18" i="20"/>
  <c r="G20" i="20" s="1"/>
  <c r="H22" i="21"/>
  <c r="G10" i="3" s="1"/>
  <c r="H10" i="3" s="1"/>
  <c r="F13" i="22"/>
  <c r="H20" i="20" l="1"/>
  <c r="H22" i="20" s="1"/>
  <c r="G11" i="3" s="1"/>
  <c r="F22" i="14"/>
  <c r="D17" i="3" s="1"/>
  <c r="F17" i="3" s="1"/>
  <c r="H11" i="3" l="1"/>
  <c r="F22" i="3"/>
  <c r="G10" i="14" l="1"/>
  <c r="H10" i="14" s="1"/>
  <c r="G11" i="14"/>
  <c r="H11" i="14" s="1"/>
  <c r="G12" i="14"/>
  <c r="H12" i="14" s="1"/>
  <c r="D17" i="22"/>
  <c r="F17" i="22" s="1"/>
  <c r="D18" i="22"/>
  <c r="H18" i="22" s="1"/>
  <c r="G13" i="14" l="1"/>
  <c r="H13" i="14"/>
  <c r="H22" i="14" s="1"/>
  <c r="G17" i="3" s="1"/>
  <c r="H17" i="22"/>
  <c r="F18" i="22"/>
  <c r="H17" i="3" l="1"/>
  <c r="H22" i="3" s="1"/>
  <c r="F22" i="22"/>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D34F93EB-6B0E-452C-8C9C-341C6B0CA491}">
      <text>
        <r>
          <rPr>
            <sz val="9"/>
            <color indexed="81"/>
            <rFont val="Tahoma"/>
            <family val="2"/>
          </rPr>
          <t>PV Benchmark Range:     $1172 - $1461            PV+ESS Range:          $1728 - $2365</t>
        </r>
      </text>
    </comment>
    <comment ref="H22" authorId="1" shapeId="0" xr:uid="{6F5CF0CB-78EA-448F-AAB1-43E6B9F78984}">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06FAF9A3-2542-4F63-B11E-29373D7BCC27}">
      <text>
        <r>
          <rPr>
            <sz val="9"/>
            <color indexed="81"/>
            <rFont val="Tahoma"/>
            <family val="2"/>
          </rPr>
          <t>Benchmark Range:     $211 - $289</t>
        </r>
      </text>
    </comment>
    <comment ref="H22" authorId="1" shapeId="0" xr:uid="{E21994C7-D304-4966-8CC4-EE5E178639E9}">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F6BFE247-F3CB-4B7C-94DF-0690A02963CF}">
      <text>
        <r>
          <rPr>
            <sz val="9"/>
            <color indexed="81"/>
            <rFont val="Tahoma"/>
            <family val="2"/>
          </rPr>
          <t>Benchmark Range:     $35 - $104</t>
        </r>
      </text>
    </comment>
    <comment ref="H22" authorId="1" shapeId="0" xr:uid="{E085D3E0-B9FD-4CAB-9272-0E906439D02D}">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FE58B18-9E99-4B58-B85A-D6311CA179AA}">
      <text>
        <r>
          <rPr>
            <sz val="9"/>
            <color indexed="81"/>
            <rFont val="Tahoma"/>
            <family val="2"/>
          </rPr>
          <t>Benchmark Range:     $148 - $272</t>
        </r>
      </text>
    </comment>
    <comment ref="H22" authorId="1" shapeId="0" xr:uid="{91404CE2-E990-4859-873E-63689934FC74}">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CA99D693-3FF1-4BEE-87BF-207C843C8A47}">
      <text>
        <r>
          <rPr>
            <sz val="9"/>
            <color indexed="81"/>
            <rFont val="Tahoma"/>
            <family val="2"/>
          </rPr>
          <t>PV Benchmark Range:     $28 - $47            PV+ESS Range:          $30 - $49</t>
        </r>
      </text>
    </comment>
    <comment ref="H22" authorId="1" shapeId="0" xr:uid="{7F027ADF-7D85-4F66-A124-7EAA5BDF3F81}">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B9002ED-DFE2-4D9D-996F-5A4462BD5600}">
      <text>
        <r>
          <rPr>
            <sz val="9"/>
            <color indexed="81"/>
            <rFont val="Tahoma"/>
            <family val="2"/>
          </rPr>
          <t>PV Benchmark Range:     $245 - $245            PV+ESS Range:          $245 - $245</t>
        </r>
      </text>
    </comment>
    <comment ref="H22" authorId="1" shapeId="0" xr:uid="{51F1B5E4-B9EE-4CB6-BE8D-36D76A14FB25}">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2D55A238-6B7C-4A76-846F-88C4EBC8DB8D}">
      <text>
        <r>
          <rPr>
            <sz val="9"/>
            <color indexed="81"/>
            <rFont val="Tahoma"/>
            <family val="2"/>
          </rPr>
          <t>PV Benchmark Range:     $55 - $97            PV+ESS Range:          $88 - $130</t>
        </r>
      </text>
    </comment>
    <comment ref="H22" authorId="1" shapeId="0" xr:uid="{3737E9BE-97F9-4456-9717-D9AABB0D0BBD}">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71EABEEE-550D-4B69-BFF4-D513094B39DB}">
      <text>
        <r>
          <rPr>
            <sz val="9"/>
            <color indexed="81"/>
            <rFont val="Tahoma"/>
            <family val="2"/>
          </rPr>
          <t>PV Benchmark Range:     $148 - $165            PV+ESS Range:          $148 - $165</t>
        </r>
      </text>
    </comment>
    <comment ref="H22" authorId="1" shapeId="0" xr:uid="{338FB4D1-7681-49BD-A530-6ECF5F7A3EA6}">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11FC8893-30C3-4D37-AA8F-1057206F66C3}">
      <text>
        <r>
          <rPr>
            <sz val="9"/>
            <color indexed="81"/>
            <rFont val="Tahoma"/>
            <family val="2"/>
          </rPr>
          <t>PV Benchmark Range:     $189 - $236            PV+ESS Range:          $276 - $381</t>
        </r>
      </text>
    </comment>
    <comment ref="H22" authorId="1" shapeId="0" xr:uid="{8858EBBD-145B-463F-8702-F1C661DE5DD7}">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AC618F58-FF51-4E0C-9DA4-4E7F5A5A7B92}">
      <text>
        <r>
          <rPr>
            <sz val="9"/>
            <color indexed="81"/>
            <rFont val="Tahoma"/>
            <family val="2"/>
          </rPr>
          <t>PV Benchmark Range:     $17 - $26            PV+ESS Range:          $35 - $57</t>
        </r>
      </text>
    </comment>
    <comment ref="H22" authorId="1" shapeId="0" xr:uid="{212F6EB9-DA98-4A51-915A-60C63902C604}">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<sst xmlns="http://schemas.openxmlformats.org/spreadsheetml/2006/main" count="697" uniqueCount="320">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</sst>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234.09205328955252</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142.13453098208896</c:v>
                </c:pt>
                <c:pt idx="1">
                  <c:v>144.54887757299804</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398.46261776626886</c:v>
                </c:pt>
                <c:pt idx="1">
                  <c:v>418.36711776626885</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678.43627561360051</c:v>
                </c:pt>
                <c:pt idx="1">
                  <c:v>685.93627561360051</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292.35430675191151</c:v>
                </c:pt>
                <c:pt idx="1">
                  <c:v>322.02106643755656</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1.4213453098208897</c:v>
                </c:pt>
                <c:pt idx="1">
                  <c:v>1.4213453098208897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0.23409205328955252</c:v>
                </c:pt>
                <c:pt idx="1">
                  <c:v>0.23409205328955252</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3.9496454958141438</c:v>
                </c:pt>
                <c:pt idx="1">
                  <c:v>3.9496454958141438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4.9370568697676802</c:v>
                </c:pt>
                <c:pt idx="1">
                  <c:v>4.9370568697676802</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39.870764842753118</c:v>
                </c:pt>
                <c:pt idx="1">
                  <c:v>39.870764842753118</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222.05</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234.09205328955252</v>
      </c>
      <c r="E10" s="30">
        <v>1</v>
      </c>
      <c r="F10" s="7">
        <f t="shared" ref="F10:F21" si="0">E10*D10*includerow(I10,IncludeESS,IncludeIndirect)</f>
        <v>234.09205328955252</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28.426906196417793</v>
      </c>
      <c r="E13" s="30">
        <f>1/ModuleEfficiency</f>
        <v>5</v>
      </c>
      <c r="F13" s="7">
        <f t="shared" si="0"/>
        <v>142.13453098208896</v>
      </c>
      <c r="G13" s="49">
        <f>SBOSMMP</f>
        <v>28.909775514599609</v>
      </c>
      <c r="H13" s="7">
        <f t="shared" si="1"/>
        <v>144.54887757299804</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79.692523553253778</v>
      </c>
      <c r="E15" s="30">
        <f>1/ModuleEfficiency</f>
        <v>5</v>
      </c>
      <c r="F15" s="7">
        <f t="shared" si="0"/>
        <v>398.46261776626886</v>
      </c>
      <c r="G15" s="49">
        <f>FieldworkMMP</f>
        <v>83.67342355325377</v>
      </c>
      <c r="H15" s="7">
        <f t="shared" si="1"/>
        <v>418.36711776626885</v>
      </c>
      <c r="I15" s="37"/>
      <c r="J15" s="2"/>
      <c r="K15"/>
      <c r="L15"/>
      <c r="M15"/>
      <c r="N15"/>
      <c r="O15"/>
      <c r="P15"/>
      <c r="Q15"/>
      <c r="R15"/>
      <c r="S15"/>
      <c r="T15"/>
    </row>
    <row r="16" spans="1:20" ht="18" customHeight="1">
      <c r="A16" s="13" t="s">
        <v>41</v>
      </c>
      <c r="B16" s="34" t="s">
        <v>82</v>
      </c>
      <c r="C16" s="24" t="str">
        <f>OfficeworkUnit</f>
        <v>kWdc</v>
      </c>
      <c r="D16" s="49">
        <f>OfficeworkMSP</f>
        <v>678.43627561360051</v>
      </c>
      <c r="E16" s="30">
        <v>1</v>
      </c>
      <c r="F16" s="7">
        <f t="shared" si="0"/>
        <v>678.43627561360051</v>
      </c>
      <c r="G16" s="49">
        <f>OfficeworkMMP</f>
        <v>685.93627561360051</v>
      </c>
      <c r="H16" s="7">
        <f t="shared" si="1"/>
        <v>685.93627561360051</v>
      </c>
      <c r="I16" s="37" t="s">
        <v>83</v>
      </c>
      <c r="J16" s="2"/>
      <c r="K16"/>
      <c r="L16"/>
      <c r="M16"/>
      <c r="N16"/>
      <c r="O16"/>
      <c r="P16"/>
      <c r="Q16"/>
      <c r="R16"/>
      <c r="S16"/>
      <c r="T16"/>
    </row>
    <row r="17" spans="1:20" ht="18" customHeight="1">
      <c r="A17" s="13" t="s">
        <v>11</v>
      </c>
      <c r="B17" s="65" t="s">
        <v>84</v>
      </c>
      <c r="C17" s="24" t="str">
        <f>OtherUnit</f>
        <v>kWdc</v>
      </c>
      <c r="D17" s="49">
        <f>OtherMSP</f>
        <v>292.35430675191151</v>
      </c>
      <c r="E17" s="30">
        <v>1</v>
      </c>
      <c r="F17" s="7">
        <f t="shared" si="0"/>
        <v>292.35430675191151</v>
      </c>
      <c r="G17" s="49">
        <f>OtherMMP</f>
        <v>322.02106643755656</v>
      </c>
      <c r="H17" s="7">
        <f t="shared" si="1"/>
        <v>322.02106643755656</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1974.822747907072</v>
      </c>
      <c r="G22" s="15" t="s">
        <v>61</v>
      </c>
      <c r="H22" s="8">
        <f>SUM(H10:H21)</f>
        <v>2155.7784468794753</v>
      </c>
      <c r="I22"/>
      <c r="J22"/>
    </row>
  </sheetData>
  <sheetProtection algorithmName="SHA-512" hashValue="YewG9sewTa93WV5mWbJxX/vvu35Ky0Osrb9x/UoCvtMfxc9qSIZFTOPiV8SCV4BFsP2REdbVUW0lx2AV+C0Tbw==" saltValue="yQKdie9Mfj7N61jxBxdjrA=="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9.3560478005204164</v>
      </c>
      <c r="F11" s="7">
        <f t="shared" si="0"/>
        <v>14.034071700780625</v>
      </c>
      <c r="G11" s="10"/>
      <c r="H11" s="12">
        <f t="shared" si="1"/>
        <v>14.034071700780625</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0.80034626180670809</v>
      </c>
      <c r="F13" s="7">
        <f t="shared" si="0"/>
        <v>5.0421814493822605</v>
      </c>
      <c r="G13" s="10"/>
      <c r="H13" s="12">
        <f t="shared" si="1"/>
        <v>5.0421814493822605</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13.720194697212742</v>
      </c>
      <c r="E18" s="30">
        <v>1</v>
      </c>
      <c r="F18" s="7">
        <f t="shared" si="0"/>
        <v>13.720194697212742</v>
      </c>
      <c r="G18" s="75">
        <f>ModuleMarketPrice-SUM(H10:H17,H19:H21)</f>
        <v>100.32201895868064</v>
      </c>
      <c r="H18" s="12">
        <f t="shared" si="1"/>
        <v>100.32201895868064</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234.09205328955252</v>
      </c>
      <c r="G22" s="15" t="s">
        <v>61</v>
      </c>
      <c r="H22" s="8">
        <f>SUM(H10:H21)</f>
        <v>336</v>
      </c>
      <c r="I22"/>
      <c r="J22"/>
    </row>
    <row r="23" spans="1:10">
      <c r="F23" s="11"/>
    </row>
  </sheetData>
  <sheetProtection algorithmName="SHA-512" hashValue="qV/ft3UtiimFdZu0v1jy39eJb7BDmRBtDxbXhVR4ZtuDzJx9CK2i+SZqLo8X7whG1AQiZFbDlxzn6f2ELJnHEQ==" saltValue="CrdGXL/uvPSTNBWLqRgQ6g=="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66yfRXKAF8kAUkf89ut93L/ZHl03Ll7M56YswyXyiSxVEndL8x3b+pywdjAe9HufjkMV+pUNs8lXw0Kygw6h7Q==" saltValue="T07Hu5GFENx1rLqgrmdhn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N5uZ28+lu2hfB5WGRBH5Vl/3Dmoyo/uQ5eKYR0DhTkhzMpXLKhTSDqnE/v9WoY+AWTlBtEITy1rulHdXlcmqGQ==" saltValue="0T/QSRb6R0JBG+eVkcn+Gg=="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1110.25</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2.8727144618452594E-2</v>
      </c>
      <c r="F11" s="7">
        <f t="shared" si="0"/>
        <v>5.7454289236905192</v>
      </c>
      <c r="G11" s="5"/>
      <c r="H11" s="12">
        <f t="shared" si="1"/>
        <v>5.7454289236905192</v>
      </c>
      <c r="I11" s="61"/>
      <c r="J11" s="2" t="s">
        <v>137</v>
      </c>
    </row>
    <row r="12" spans="1:15" ht="18" customHeight="1">
      <c r="A12" s="13" t="s">
        <v>138</v>
      </c>
      <c r="B12" s="6"/>
      <c r="C12" s="28" t="s">
        <v>89</v>
      </c>
      <c r="D12" s="4">
        <v>2.1</v>
      </c>
      <c r="E12" s="30">
        <f>1/ModuleWidth</f>
        <v>0.71022727272727282</v>
      </c>
      <c r="F12" s="7">
        <f t="shared" si="0"/>
        <v>1.4914772727272729</v>
      </c>
      <c r="G12" s="67">
        <f>D12*(1+Tariff301)</f>
        <v>2.625</v>
      </c>
      <c r="H12" s="12">
        <f t="shared" si="1"/>
        <v>1.8643465909090911</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28.426906196417793</v>
      </c>
      <c r="G22" s="15" t="s">
        <v>61</v>
      </c>
      <c r="H22" s="8">
        <f>SUM(H10:H21)</f>
        <v>28.909775514599609</v>
      </c>
      <c r="I22"/>
      <c r="J22"/>
    </row>
    <row r="23" spans="1:10">
      <c r="F23" s="11"/>
    </row>
  </sheetData>
  <sheetProtection algorithmName="SHA-512" hashValue="LkoepdMtZMeQf9yHYkgDghtxJG4eY4HLPHMJ9s1AUPxKJLMIKjujlsc3QeqoM73KnP35PDnig23j47Ti2tPSbA==" saltValue="h4EnvyShiHtQL/+ZNrH4P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162.0802919708029</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uzd20D+AB+7/PSRPjWlrbIgG2wbbiChRKOYEUegIMNaaX51Pdx9XFgXSdClEZazmHU6m9tZWu/HuCctPIW53xA==" saltValue="I7PHZiJjxU6uqaemThRZk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1110.25</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11.152443143436162</v>
      </c>
      <c r="G13" s="5"/>
      <c r="H13" s="12">
        <f t="shared" si="1"/>
        <v>11.152443143436162</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9.0069804098176078</v>
      </c>
      <c r="G15" s="4"/>
      <c r="H15" s="12">
        <f t="shared" si="1"/>
        <v>9.0069804098176078</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79.692523553253778</v>
      </c>
      <c r="G22" s="15" t="s">
        <v>61</v>
      </c>
      <c r="H22" s="8">
        <f>SUM(H10:H21)</f>
        <v>83.67342355325377</v>
      </c>
      <c r="I22"/>
      <c r="J22"/>
    </row>
    <row r="23" spans="1:10">
      <c r="F23" s="11"/>
    </row>
  </sheetData>
  <sheetProtection algorithmName="SHA-512" hashValue="f1qvXUfvgBvr3Eukv8gNtOgT2utkHqU+QpUt7aijFEGWLpCd8kPO2BdTpGIF3DvQRM9jIrq+4Y/CzTvgrrTNfQ==" saltValue="VKoH75/4ClljRqs7kK67W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222.05</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340.24431434361628</v>
      </c>
      <c r="G12" s="5"/>
      <c r="H12" s="12">
        <f t="shared" si="1"/>
        <v>340.24431434361628</v>
      </c>
      <c r="I12" s="37"/>
      <c r="J12" s="2" t="s">
        <v>302</v>
      </c>
    </row>
    <row r="13" spans="1:15" ht="18" customHeight="1">
      <c r="A13" s="13" t="s">
        <v>163</v>
      </c>
      <c r="B13" s="6">
        <v>25000</v>
      </c>
      <c r="C13" s="28"/>
      <c r="D13" s="4"/>
      <c r="E13" s="30"/>
      <c r="F13" s="7">
        <f t="shared" si="0"/>
        <v>112.58725512272011</v>
      </c>
      <c r="G13" s="5"/>
      <c r="H13" s="12">
        <f t="shared" si="1"/>
        <v>112.58725512272011</v>
      </c>
      <c r="I13" s="37"/>
      <c r="J13" s="2" t="s">
        <v>164</v>
      </c>
    </row>
    <row r="14" spans="1:15" ht="18" customHeight="1">
      <c r="A14" s="13" t="s">
        <v>303</v>
      </c>
      <c r="B14" s="6">
        <v>30000</v>
      </c>
      <c r="C14" s="28" t="s">
        <v>22</v>
      </c>
      <c r="D14" s="4">
        <v>60</v>
      </c>
      <c r="E14" s="30">
        <v>1</v>
      </c>
      <c r="F14" s="7">
        <f t="shared" si="0"/>
        <v>195.10470614726412</v>
      </c>
      <c r="G14" s="5"/>
      <c r="H14" s="12">
        <f t="shared" si="1"/>
        <v>195.10470614726412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678.43627561360051</v>
      </c>
      <c r="G22" s="15" t="s">
        <v>61</v>
      </c>
      <c r="H22" s="8">
        <f>SUM(H10:H21)</f>
        <v>685.93627561360051</v>
      </c>
      <c r="I22"/>
      <c r="J22"/>
    </row>
    <row r="23" spans="1:10">
      <c r="F23" s="11"/>
    </row>
  </sheetData>
  <sheetProtection algorithmName="SHA-512" hashValue="NqOtszxUj/grssIB8iFqWWowGwi2n7junI3cxh2t2pwUZn4BDZHbptPDQPUfgLddAiZ3mC1Rid9FLZpLJBbh3g==" saltValue="8xU17B5mMbKXNspQBFVGc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35.123033770966885</v>
      </c>
      <c r="E10" s="30">
        <v>1</v>
      </c>
      <c r="F10" s="7">
        <f t="shared" ref="F10:F21" si="0">($B10/$A$3+$E10*$D10)*includerow($I10,IncludeESS,IncludeIndirect)</f>
        <v>35.123033770966885</v>
      </c>
      <c r="G10" s="67">
        <f>B10/$A$3+(SysModuleMMP+SysInverterMMP+SysESSMMP+SysSBOSMMP+SysEBOSMMP)*SalesTaxRate</f>
        <v>42.308331249598858</v>
      </c>
      <c r="H10" s="12">
        <f t="shared" ref="H10:H21" si="1">IF($G10&lt;&gt;0,$G10*$E10*includerow($I10,IncludeESS,IncludeIndirect),($B10/$A$3+$D10*$E10)*includerow($I10,IncludeESS,IncludeIndirect))</f>
        <v>42.308331249598858</v>
      </c>
      <c r="I10" s="37"/>
      <c r="J10" s="2" t="s">
        <v>167</v>
      </c>
    </row>
    <row r="11" spans="1:15" ht="18" customHeight="1">
      <c r="A11" s="13" t="s">
        <v>168</v>
      </c>
      <c r="B11" s="6"/>
      <c r="C11" s="28" t="s">
        <v>22</v>
      </c>
      <c r="D11" s="66">
        <f>(SysModuleMSP+SysInverterMSP+SysESSMSP+SysSBOSMSP+SysEBOSMSP+SysFieldworkMSP+SysOfficeworkMSP)*ContingencyRate</f>
        <v>84.123422057758034</v>
      </c>
      <c r="E11" s="30">
        <v>1</v>
      </c>
      <c r="F11" s="7">
        <f t="shared" si="0"/>
        <v>84.123422057758034</v>
      </c>
      <c r="G11" s="67">
        <f>B11/$A$3+(SysModuleMMP+SysInverterMMP+SysESSMMP+SysSBOSMMP+SysEBOSMMP+SysFieldworkMMP+SysOfficeworkMMP)*ContingencyRate</f>
        <v>91.687869022095924</v>
      </c>
      <c r="H11" s="12">
        <f t="shared" si="1"/>
        <v>91.687869022095924</v>
      </c>
      <c r="I11" s="37"/>
      <c r="J11" s="2" t="s">
        <v>169</v>
      </c>
    </row>
    <row r="12" spans="1:15" ht="18" customHeight="1">
      <c r="A12" s="13" t="s">
        <v>170</v>
      </c>
      <c r="B12" s="6">
        <v>1000000</v>
      </c>
      <c r="C12" s="28" t="s">
        <v>22</v>
      </c>
      <c r="D12" s="66">
        <f>(SysModuleMSP+SysInverterMSP+SysESSMSP+SysSBOSMSP+SysEBOSMSP+SysFieldworkMSP+SysOfficeworkMSP)*OverheadRate</f>
        <v>16.824684411551605</v>
      </c>
      <c r="E12" s="30">
        <v>1</v>
      </c>
      <c r="F12" s="7">
        <f t="shared" si="0"/>
        <v>26.824684411551605</v>
      </c>
      <c r="G12" s="67">
        <f>B12/$A$3+(SysModuleMMP+SysInverterMMP+SysESSMMP+SysSBOSMMP+SysEBOSMMP+SysFieldworkMMP+SysOfficeworkMMP)*OverheadRate</f>
        <v>28.337573804419186</v>
      </c>
      <c r="H12" s="12">
        <f t="shared" si="1"/>
        <v>28.337573804419186</v>
      </c>
      <c r="I12" s="37"/>
      <c r="J12" s="2" t="s">
        <v>171</v>
      </c>
    </row>
    <row r="13" spans="1:15" ht="18" customHeight="1">
      <c r="A13" s="13" t="s">
        <v>107</v>
      </c>
      <c r="B13" s="6"/>
      <c r="C13" s="28" t="s">
        <v>22</v>
      </c>
      <c r="D13" s="66">
        <f>( SysModuleMSP+ SysInverterMSP+ SysESSMSP+ SysSBOSMSP+ SysEBOSMSP+ SysFieldworkMSP+ SysOfficeworkMSP+SUM(F10:F12))* DeveloperProfitMSP</f>
        <v>146.28316651163496</v>
      </c>
      <c r="E13" s="30">
        <v>1</v>
      </c>
      <c r="F13" s="7">
        <f t="shared" si="0"/>
        <v>146.28316651163496</v>
      </c>
      <c r="G13" s="67">
        <f>B13/$A$3+(SysModuleMMP+SysInverterMMP+SysESSMMP+SysSBOSMMP+SysEBOSMMP+SysFieldworkMMP+SysOfficeworkMMP+SUM(H10:H12))*DeveloperProfitMMP</f>
        <v>159.68729236144259</v>
      </c>
      <c r="H13" s="12">
        <f t="shared" si="1"/>
        <v>159.68729236144259</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292.35430675191151</v>
      </c>
      <c r="G22" s="15" t="s">
        <v>61</v>
      </c>
      <c r="H22" s="8">
        <f>SUM(H10:H21)</f>
        <v>322.02106643755656</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TeVBjEw4EG417p0Ll/h4DSE1VOVENC4EF/T4Ay/j207HiR03aMILCYb326vV0PqaiMsxqdXCDW1CvD5TGYsBHQ==" saltValue="c6yINcqXyHLQ9mMGMe5cD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222.05</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142.13453098208896</v>
      </c>
      <c r="E12" s="30">
        <f>PartsLossRate/ModuleEfficiency</f>
        <v>0.01</v>
      </c>
      <c r="F12" s="7">
        <f t="shared" si="0"/>
        <v>1.4213453098208897</v>
      </c>
      <c r="G12" s="5"/>
      <c r="H12" s="12">
        <f t="shared" si="1"/>
        <v>1.4213453098208897</v>
      </c>
      <c r="I12" s="37"/>
      <c r="J12" s="2" t="s">
        <v>178</v>
      </c>
    </row>
    <row r="13" spans="1:15" ht="18" customHeight="1">
      <c r="A13" s="13" t="s">
        <v>179</v>
      </c>
      <c r="B13" s="6"/>
      <c r="C13" s="28" t="s">
        <v>22</v>
      </c>
      <c r="D13" s="66">
        <f>SysModuleMSP</f>
        <v>234.09205328955252</v>
      </c>
      <c r="E13" s="30">
        <f>ModuleLossRate</f>
        <v>1E-3</v>
      </c>
      <c r="F13" s="7">
        <f t="shared" si="0"/>
        <v>0.23409205328955252</v>
      </c>
      <c r="G13" s="5"/>
      <c r="H13" s="12">
        <f t="shared" si="1"/>
        <v>0.23409205328955252</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3.9496454958141438</v>
      </c>
      <c r="E17" s="30">
        <f>IncludeIndirect*1</f>
        <v>1</v>
      </c>
      <c r="F17" s="7">
        <f t="shared" si="0"/>
        <v>3.9496454958141438</v>
      </c>
      <c r="G17" s="4"/>
      <c r="H17" s="12">
        <f t="shared" si="1"/>
        <v>3.9496454958141438</v>
      </c>
      <c r="I17" s="37" t="s">
        <v>83</v>
      </c>
      <c r="J17" s="2" t="s">
        <v>189</v>
      </c>
    </row>
    <row r="18" spans="1:10" ht="18" customHeight="1">
      <c r="A18" s="13" t="s">
        <v>190</v>
      </c>
      <c r="B18" s="6"/>
      <c r="C18" s="29" t="s">
        <v>188</v>
      </c>
      <c r="D18" s="66">
        <f>SystemMSP*InsuranceRate</f>
        <v>4.9370568697676802</v>
      </c>
      <c r="E18" s="30">
        <f>IncludeIndirect*1</f>
        <v>1</v>
      </c>
      <c r="F18" s="7">
        <f t="shared" si="0"/>
        <v>4.9370568697676802</v>
      </c>
      <c r="G18" s="4"/>
      <c r="H18" s="12">
        <f t="shared" si="1"/>
        <v>4.9370568697676802</v>
      </c>
      <c r="I18" s="37" t="s">
        <v>83</v>
      </c>
      <c r="J18" s="2" t="s">
        <v>305</v>
      </c>
    </row>
    <row r="19" spans="1:10" ht="18" customHeight="1">
      <c r="A19" s="13" t="s">
        <v>170</v>
      </c>
      <c r="B19" s="6">
        <v>8853.3033333333296</v>
      </c>
      <c r="C19" s="29"/>
      <c r="D19" s="4"/>
      <c r="E19" s="30"/>
      <c r="F19" s="7">
        <f t="shared" si="0"/>
        <v>39.870764842753118</v>
      </c>
      <c r="G19" s="4"/>
      <c r="H19" s="12">
        <f t="shared" si="1"/>
        <v>39.870764842753118</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61.63896025546336</v>
      </c>
      <c r="G22" s="15" t="s">
        <v>61</v>
      </c>
      <c r="H22" s="8">
        <f>SUM(H10:H21)</f>
        <v>61.63896025546336</v>
      </c>
      <c r="I22"/>
      <c r="J22"/>
    </row>
    <row r="23" spans="1:10">
      <c r="F23" s="11"/>
    </row>
  </sheetData>
  <sheetProtection algorithmName="SHA-512" hashValue="3r+8JG7f9x3R9DWVRNKvjOvG8wEpJ5684WyuVn76WUUNurmaD3zwpShAKRN0/nNIcLGeRgvsdP4eZW9njNgjLw==" saltValue="otdfRp291QjM6a25688hVg=="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4.4370000000000003</v>
      </c>
      <c r="D10" s="37" t="s">
        <v>89</v>
      </c>
      <c r="E10" s="59" t="str">
        <f t="shared" si="0"/>
        <v>/</v>
      </c>
      <c r="F10" s="37"/>
      <c r="G10" s="58"/>
      <c r="H10" s="2"/>
    </row>
    <row r="11" spans="1:8">
      <c r="A11" s="13" t="s">
        <v>1</v>
      </c>
      <c r="B11" s="13" t="s">
        <v>203</v>
      </c>
      <c r="C11" s="2">
        <v>1.4079999999999999</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e1udpV1SHVtfnnyLYkjlS8lZ6YIC1ENfZlHdEdSY1tN11zDAoae20OlkACFjK6uFEQrCs1DVr1hilsrh4RDZcg==" saltValue="0cZDVMTTkYYnqg9nJnLHlw=="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2026-05-19T15:44:39Z</dcterms:modified>
</cp:coreProperties>
</file>