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E6845490-FB52-4593-AA86-BFA059D1C014}" xr6:coauthVersionLast="47" xr6:coauthVersionMax="47" xr10:uidLastSave="{00000000-0000-0000-0000-000000000000}"/>
  <bookViews>
    <workbookView xWindow="-110" yWindow="-110" windowWidth="38620" windowHeight="2122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C16"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H11" i="20"/>
  <c r="H11" i="16"/>
  <c r="F13" i="20"/>
  <c r="H19" i="3"/>
  <c r="F19" i="3"/>
  <c r="F11" i="20"/>
  <c r="H16" i="17"/>
  <c r="F10" i="18"/>
  <c r="F12" i="21"/>
  <c r="F10" i="20"/>
  <c r="H17" i="21"/>
  <c r="H10" i="20"/>
  <c r="H19" i="14"/>
  <c r="F18" i="14"/>
  <c r="H10" i="24"/>
  <c r="H16" i="14"/>
  <c r="F16" i="14"/>
  <c r="F14" i="17"/>
  <c r="F20" i="16"/>
  <c r="H15" i="21"/>
  <c r="H20" i="14"/>
  <c r="F21" i="21"/>
  <c r="F20" i="20"/>
  <c r="F20" i="14"/>
  <c r="H17" i="17"/>
  <c r="H18" i="14"/>
  <c r="F12" i="20"/>
  <c r="F19" i="14"/>
  <c r="H20" i="17"/>
  <c r="F15" i="20"/>
  <c r="H14" i="18"/>
  <c r="H14" i="20"/>
  <c r="F13" i="21"/>
  <c r="F21" i="14"/>
  <c r="H17" i="14"/>
  <c r="H11" i="17"/>
  <c r="H13" i="20"/>
  <c r="F17" i="21"/>
  <c r="H12" i="20"/>
  <c r="F18" i="3"/>
  <c r="H15" i="17"/>
  <c r="F17" i="17"/>
  <c r="H21" i="21"/>
  <c r="F20" i="21"/>
  <c r="F15" i="14"/>
  <c r="F16" i="21"/>
  <c r="H20" i="3"/>
  <c r="F11" i="21"/>
  <c r="H21" i="3"/>
  <c r="F17" i="24"/>
  <c r="F17" i="14"/>
  <c r="F17" i="20"/>
  <c r="H13" i="17"/>
  <c r="F21" i="3"/>
  <c r="F21" i="20"/>
  <c r="F19" i="17"/>
  <c r="F21" i="17"/>
  <c r="F10" i="21"/>
  <c r="H11" i="18"/>
  <c r="H18" i="3"/>
  <c r="H21" i="14"/>
  <c r="H20" i="21"/>
  <c r="F20" i="3"/>
  <c r="F19" i="20"/>
  <c r="F12" i="17"/>
  <c r="F11" i="17"/>
  <c r="H12" i="17"/>
  <c r="H15" i="14"/>
  <c r="F21" i="22"/>
  <c r="H21" i="17"/>
  <c r="H21" i="20"/>
  <c r="H12" i="19"/>
  <c r="F15" i="19"/>
  <c r="H17" i="20"/>
  <c r="F20" i="17"/>
  <c r="H10" i="16"/>
  <c r="H10" i="17"/>
  <c r="F10" i="17"/>
  <c r="H13" i="19"/>
  <c r="F14" i="21"/>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F13" i="18"/>
  <c r="H15" i="19"/>
  <c r="H18" i="19"/>
  <c r="H11" i="21"/>
  <c r="H21" i="19"/>
  <c r="H18" i="18"/>
  <c r="F16" i="20"/>
  <c r="F19" i="19"/>
  <c r="F14" i="16"/>
  <c r="H15" i="24"/>
  <c r="F11" i="16"/>
  <c r="H10" i="18"/>
  <c r="H16" i="22"/>
  <c r="H17" i="19"/>
  <c r="F19" i="24"/>
  <c r="H13" i="21"/>
  <c r="F19" i="16"/>
  <c r="F16" i="17"/>
  <c r="F10" i="22"/>
  <c r="F15" i="16"/>
  <c r="F16" i="22"/>
  <c r="H16" i="16"/>
  <c r="H17" i="16"/>
  <c r="H21" i="22"/>
  <c r="F13" i="17"/>
  <c r="F18" i="16"/>
  <c r="H14" i="19"/>
  <c r="F11" i="22"/>
  <c r="H10" i="22"/>
  <c r="H10" i="19"/>
  <c r="H18" i="16"/>
  <c r="H19" i="24"/>
  <c r="F19" i="22"/>
  <c r="H21" i="24"/>
  <c r="F12" i="19"/>
  <c r="H21" i="18"/>
  <c r="H12" i="21"/>
  <c r="H16" i="24"/>
  <c r="H13" i="18"/>
  <c r="F15" i="21"/>
  <c r="H13" i="24"/>
  <c r="H11" i="24"/>
  <c r="H14" i="16"/>
  <c r="F14" i="19"/>
  <c r="F13" i="24"/>
  <c r="F10" i="16"/>
  <c r="H13" i="16"/>
  <c r="F17" i="18"/>
  <c r="F19" i="18"/>
  <c r="H19" i="20"/>
  <c r="H21" i="16"/>
  <c r="H15" i="18"/>
  <c r="F20" i="19"/>
  <c r="H17" i="24"/>
  <c r="H12" i="16"/>
  <c r="F13" i="19"/>
  <c r="F18" i="24"/>
  <c r="F10" i="24"/>
  <c r="F17" i="16"/>
  <c r="F16" i="18"/>
  <c r="H14" i="24"/>
  <c r="H10" i="21"/>
  <c r="F15" i="18"/>
  <c r="F12" i="24"/>
  <c r="H19" i="22"/>
  <c r="F14" i="18"/>
  <c r="F20" i="24"/>
  <c r="F13" i="16"/>
  <c r="F16" i="24"/>
  <c r="H11" i="19"/>
  <c r="H16" i="18"/>
  <c r="H14" i="17"/>
  <c r="F11" i="18"/>
  <c r="H16" i="21"/>
  <c r="H20" i="19"/>
  <c r="H17" i="18"/>
  <c r="F17" i="19"/>
  <c r="F11" i="24"/>
  <c r="H15" i="16"/>
  <c r="F16" i="19"/>
  <c r="F21" i="16"/>
  <c r="F18" i="18"/>
  <c r="H19" i="16"/>
  <c r="H16" i="19"/>
  <c r="F21" i="24"/>
  <c r="H12" i="24"/>
  <c r="F16" i="16"/>
  <c r="F12" i="18"/>
  <c r="H20" i="22"/>
  <c r="F10" i="19"/>
  <c r="F18" i="19"/>
  <c r="H19" i="18"/>
  <c r="H20" i="16"/>
  <c r="F15" i="24"/>
  <c r="H18" i="24"/>
  <c r="H15" i="20"/>
  <c r="F14" i="20"/>
  <c r="F15" i="17"/>
  <c r="H11" i="22"/>
  <c r="H20" i="18"/>
  <c r="F20" i="22"/>
  <c r="H20" i="24"/>
  <c r="H12" i="18"/>
  <c r="F11" i="19"/>
  <c r="H14" i="21"/>
  <c r="F21" i="19"/>
  <c r="F12" i="16"/>
  <c r="F21" i="18"/>
  <c r="F14" i="24"/>
  <c r="F20" i="18"/>
  <c r="H19" i="17"/>
  <c r="H19" i="19"/>
  <c r="D18" i="20" l="1"/>
  <c r="G18" i="17"/>
  <c r="D18" i="21"/>
  <c r="D18" i="17"/>
  <c r="H9" i="22"/>
  <c r="E9" i="22"/>
  <c r="F9" i="22"/>
  <c r="A2" i="19"/>
  <c r="A2" i="18"/>
  <c r="A2" i="24"/>
  <c r="A2" i="16"/>
  <c r="H9" i="14"/>
  <c r="F9" i="14"/>
  <c r="E9" i="14"/>
  <c r="H9" i="17"/>
  <c r="F9" i="17"/>
  <c r="E9" i="17"/>
  <c r="H9" i="20"/>
  <c r="F9" i="20"/>
  <c r="E9" i="20"/>
  <c r="H9" i="21"/>
  <c r="F9" i="21"/>
  <c r="E9" i="21"/>
  <c r="H9" i="3"/>
  <c r="H16" i="20"/>
  <c r="H18" i="17"/>
  <c r="F18" i="21"/>
  <c r="F19" i="21"/>
  <c r="F18" i="17"/>
  <c r="F18" i="20"/>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F12" i="3"/>
  <c r="H16" i="3"/>
  <c r="F13" i="3"/>
  <c r="F16" i="3"/>
  <c r="F14" i="3"/>
  <c r="H14" i="3"/>
  <c r="H13" i="3"/>
  <c r="D12" i="22" l="1"/>
  <c r="D15" i="22"/>
  <c r="H22" i="16"/>
  <c r="G15" i="3" s="1"/>
  <c r="F22" i="16"/>
  <c r="D15" i="3" s="1"/>
  <c r="F15" i="22"/>
  <c r="H12" i="22"/>
  <c r="H15" i="3"/>
  <c r="F15" i="3"/>
  <c r="F22" i="20" l="1"/>
  <c r="D11" i="3" s="1"/>
  <c r="F11" i="3"/>
  <c r="F12" i="22"/>
  <c r="H15" i="22"/>
  <c r="D14" i="22" l="1"/>
  <c r="H22" i="17"/>
  <c r="G12" i="3" s="1"/>
  <c r="F14" i="22"/>
  <c r="H12" i="3"/>
  <c r="F22" i="21" l="1"/>
  <c r="D10" i="3" s="1"/>
  <c r="H14" i="22"/>
  <c r="F14" i="14"/>
  <c r="H14" i="14"/>
  <c r="H18" i="20"/>
  <c r="H19" i="21"/>
  <c r="F10" i="3"/>
  <c r="D12" i="14" l="1"/>
  <c r="D11" i="14"/>
  <c r="D10" i="14"/>
  <c r="D13" i="22"/>
  <c r="G18" i="21"/>
  <c r="G20" i="20"/>
  <c r="F11" i="14"/>
  <c r="H18" i="21"/>
  <c r="H20" i="20"/>
  <c r="F13" i="22"/>
  <c r="F12" i="14"/>
  <c r="F10" i="14"/>
  <c r="D13" i="14" l="1"/>
  <c r="H22" i="21"/>
  <c r="G10" i="3" s="1"/>
  <c r="H22" i="20"/>
  <c r="G11" i="3" s="1"/>
  <c r="H13" i="22"/>
  <c r="F13" i="14"/>
  <c r="H10" i="3"/>
  <c r="H11" i="3"/>
  <c r="G12" i="14" l="1"/>
  <c r="G11" i="14"/>
  <c r="G10" i="14"/>
  <c r="F22" i="14"/>
  <c r="D17" i="3" s="1"/>
  <c r="H11" i="14"/>
  <c r="H12" i="14"/>
  <c r="H10" i="14"/>
  <c r="F17" i="3"/>
  <c r="G13" i="14" l="1"/>
  <c r="F22" i="3"/>
  <c r="H13" i="14"/>
  <c r="D18" i="22" l="1"/>
  <c r="D17" i="22"/>
  <c r="H22" i="14"/>
  <c r="G17" i="3" s="1"/>
  <c r="F18" i="22"/>
  <c r="H17" i="3"/>
  <c r="F17" i="22"/>
  <c r="F22" i="22" l="1"/>
  <c r="H22" i="3"/>
  <c r="H17" i="22"/>
  <c r="H18" i="22"/>
  <c r="H22"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39E46991-5224-474A-BB9D-0542E40CC1BA}">
      <text>
        <r>
          <rPr>
            <sz val="9"/>
            <color indexed="81"/>
            <rFont val="Tahoma"/>
            <family val="2"/>
          </rPr>
          <t>PV Benchmark Range:     $1172 - $1461            PV+ESS Range:          $1728 - $2365</t>
        </r>
      </text>
    </comment>
    <comment ref="H22" authorId="1" shapeId="0" xr:uid="{49458FC0-8526-458E-A6EB-D8C2039AAC99}">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B2C5C029-6540-4177-9E78-7D433FE78DBA}">
      <text>
        <r>
          <rPr>
            <sz val="9"/>
            <color indexed="81"/>
            <rFont val="Tahoma"/>
            <family val="2"/>
          </rPr>
          <t>Benchmark Range:     $211 - $289</t>
        </r>
      </text>
    </comment>
    <comment ref="H22" authorId="1" shapeId="0" xr:uid="{23053398-1012-498E-8CB4-9B34DEFD2EDF}">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5C4C9DD0-1791-494A-ADDF-9EFA0F63C8D7}">
      <text>
        <r>
          <rPr>
            <sz val="9"/>
            <color indexed="81"/>
            <rFont val="Tahoma"/>
            <family val="2"/>
          </rPr>
          <t>Benchmark Range:     $35 - $104</t>
        </r>
      </text>
    </comment>
    <comment ref="H22" authorId="1" shapeId="0" xr:uid="{BDFC4CD6-A478-43E8-9B60-09FADEDF04BE}">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6533EB51-2BCE-489B-B788-0EE1BCEF6533}">
      <text>
        <r>
          <rPr>
            <sz val="9"/>
            <color indexed="81"/>
            <rFont val="Tahoma"/>
            <family val="2"/>
          </rPr>
          <t>Benchmark Range:     $148 - $272</t>
        </r>
      </text>
    </comment>
    <comment ref="H22" authorId="1" shapeId="0" xr:uid="{7754B86D-1F15-41BE-BCED-1668733B6AA9}">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30546FAB-5B15-444D-A2D8-A1972F64C8BA}">
      <text>
        <r>
          <rPr>
            <sz val="9"/>
            <color indexed="81"/>
            <rFont val="Tahoma"/>
            <family val="2"/>
          </rPr>
          <t>PV Benchmark Range:     $28 - $47            PV+ESS Range:          $30 - $49</t>
        </r>
      </text>
    </comment>
    <comment ref="H22" authorId="1" shapeId="0" xr:uid="{481AC124-D5E9-4CDB-AF9C-B9384FEE7BA8}">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AC92F1A5-22FD-4F56-A65E-64918B1F50DA}">
      <text>
        <r>
          <rPr>
            <sz val="9"/>
            <color indexed="81"/>
            <rFont val="Tahoma"/>
            <family val="2"/>
          </rPr>
          <t>PV Benchmark Range:     $245 - $245            PV+ESS Range:          $245 - $245</t>
        </r>
      </text>
    </comment>
    <comment ref="H22" authorId="1" shapeId="0" xr:uid="{5B231F9C-A12B-4768-86AD-F9F7AD600ABB}">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A84A927C-5370-44E7-954E-4F02401B87CB}">
      <text>
        <r>
          <rPr>
            <sz val="9"/>
            <color indexed="81"/>
            <rFont val="Tahoma"/>
            <family val="2"/>
          </rPr>
          <t>PV Benchmark Range:     $55 - $97            PV+ESS Range:          $88 - $130</t>
        </r>
      </text>
    </comment>
    <comment ref="H22" authorId="1" shapeId="0" xr:uid="{538BC68F-160F-46CB-8F53-C041A690158A}">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952A06BC-D6EE-4216-88E8-C932A47D4CA4}">
      <text>
        <r>
          <rPr>
            <sz val="9"/>
            <color indexed="81"/>
            <rFont val="Tahoma"/>
            <family val="2"/>
          </rPr>
          <t>PV Benchmark Range:     $148 - $165            PV+ESS Range:          $148 - $165</t>
        </r>
      </text>
    </comment>
    <comment ref="H22" authorId="1" shapeId="0" xr:uid="{3D05CC9E-D36D-45D8-BACB-92065E144B9F}">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807E2AF5-512B-43E2-8673-1200CC9E3A2A}">
      <text>
        <r>
          <rPr>
            <sz val="9"/>
            <color indexed="81"/>
            <rFont val="Tahoma"/>
            <family val="2"/>
          </rPr>
          <t>PV Benchmark Range:     $189 - $236            PV+ESS Range:          $276 - $381</t>
        </r>
      </text>
    </comment>
    <comment ref="H22" authorId="1" shapeId="0" xr:uid="{2D34B507-0B31-41F1-8BD3-E2E2CE0B632B}">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2EC6CC15-0808-493D-B4CD-2F25B875D34B}">
      <text>
        <r>
          <rPr>
            <sz val="9"/>
            <color indexed="81"/>
            <rFont val="Tahoma"/>
            <family val="2"/>
          </rPr>
          <t>PV Benchmark Range:     $17 - $26            PV+ESS Range:          $35 - $57</t>
        </r>
      </text>
    </comment>
    <comment ref="H22" authorId="1" shapeId="0" xr:uid="{517636F1-9D52-4D13-A438-543B6AF9BACA}">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<sst xmlns="http://schemas.openxmlformats.org/spreadsheetml/2006/main" count="697" uniqueCount="320">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</sst>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230.94739601708397</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140.37513729417418</c:v>
                </c:pt>
                <c:pt idx="1">
                  <c:v>142.44072620872385</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398.54212337662341</c:v>
                </c:pt>
                <c:pt idx="1">
                  <c:v>418.44662337662334</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679.17243867243872</c:v>
                </c:pt>
                <c:pt idx="1">
                  <c:v>686.67243867243872</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291.45511924398869</c:v>
                </c:pt>
                <c:pt idx="1">
                  <c:v>321.70186034185065</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1.4037513729417419</c:v>
                </c:pt>
                <c:pt idx="1">
                  <c:v>1.4037513729417419</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0.23094739601708397</c:v>
                </c:pt>
                <c:pt idx="1">
                  <c:v>0.23094739601708397</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3.9396703562159172</c:v>
                </c:pt>
                <c:pt idx="1">
                  <c:v>3.9396703562159172</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4.9245879452698968</c:v>
                </c:pt>
                <c:pt idx="1">
                  <c:v>4.9245879452698968</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39.922904641654625</c:v>
                </c:pt>
                <c:pt idx="1">
                  <c:v>39.922904641654625</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221.76</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230.94739601708397</v>
      </c>
      <c r="E10" s="30">
        <v>1</v>
      </c>
      <c r="F10" s="7">
        <f t="shared" ref="F10:F21" si="0">E10*D10*includerow(I10,IncludeESS,IncludeIndirect)</f>
        <v>230.94739601708397</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28.075027458834839</v>
      </c>
      <c r="E13" s="30">
        <f>1/ModuleEfficiency</f>
        <v>5</v>
      </c>
      <c r="F13" s="7">
        <f t="shared" si="0"/>
        <v>140.37513729417418</v>
      </c>
      <c r="G13" s="49">
        <f>SBOSMMP</f>
        <v>28.488145241744768</v>
      </c>
      <c r="H13" s="7">
        <f t="shared" si="1"/>
        <v>142.44072620872385</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79.708424675324679</v>
      </c>
      <c r="E15" s="30">
        <f>1/ModuleEfficiency</f>
        <v>5</v>
      </c>
      <c r="F15" s="7">
        <f t="shared" si="0"/>
        <v>398.54212337662341</v>
      </c>
      <c r="G15" s="49">
        <f>FieldworkMMP</f>
        <v>83.68932467532467</v>
      </c>
      <c r="H15" s="7">
        <f t="shared" si="1"/>
        <v>418.44662337662334</v>
      </c>
      <c r="I15" s="37"/>
      <c r="J15" s="2"/>
      <c r="K15"/>
      <c r="L15"/>
      <c r="M15"/>
      <c r="N15"/>
      <c r="O15"/>
      <c r="P15"/>
      <c r="Q15"/>
      <c r="R15"/>
      <c r="S15"/>
      <c r="T15"/>
    </row>
    <row r="16" spans="1:20" ht="18" customHeight="1">
      <c r="A16" s="13" t="s">
        <v>41</v>
      </c>
      <c r="B16" s="34" t="s">
        <v>82</v>
      </c>
      <c r="C16" s="24" t="str">
        <f>OfficeworkUnit</f>
        <v>kWdc</v>
      </c>
      <c r="D16" s="49">
        <f>OfficeworkMSP</f>
        <v>679.17243867243872</v>
      </c>
      <c r="E16" s="30">
        <v>1</v>
      </c>
      <c r="F16" s="7">
        <f t="shared" si="0"/>
        <v>679.17243867243872</v>
      </c>
      <c r="G16" s="49">
        <f>OfficeworkMMP</f>
        <v>686.67243867243872</v>
      </c>
      <c r="H16" s="7">
        <f t="shared" si="1"/>
        <v>686.67243867243872</v>
      </c>
      <c r="I16" s="37" t="s">
        <v>83</v>
      </c>
      <c r="J16" s="2"/>
      <c r="K16"/>
      <c r="L16"/>
      <c r="M16"/>
      <c r="N16"/>
      <c r="O16"/>
      <c r="P16"/>
      <c r="Q16"/>
      <c r="R16"/>
      <c r="S16"/>
      <c r="T16"/>
    </row>
    <row r="17" spans="1:20" ht="18" customHeight="1">
      <c r="A17" s="13" t="s">
        <v>11</v>
      </c>
      <c r="B17" s="65" t="s">
        <v>84</v>
      </c>
      <c r="C17" s="24" t="str">
        <f>OtherUnit</f>
        <v>kWdc</v>
      </c>
      <c r="D17" s="49">
        <f>OtherMSP</f>
        <v>291.45511924398869</v>
      </c>
      <c r="E17" s="30">
        <v>1</v>
      </c>
      <c r="F17" s="7">
        <f t="shared" si="0"/>
        <v>291.45511924398869</v>
      </c>
      <c r="G17" s="49">
        <f>OtherMMP</f>
        <v>321.70186034185065</v>
      </c>
      <c r="H17" s="7">
        <f t="shared" si="1"/>
        <v>321.70186034185065</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1969.8351781079587</v>
      </c>
      <c r="G22" s="15" t="s">
        <v>61</v>
      </c>
      <c r="H22" s="8">
        <f>SUM(H10:H21)</f>
        <v>2154.1667580886874</v>
      </c>
      <c r="I22"/>
      <c r="J22"/>
    </row>
  </sheetData>
  <sheetProtection algorithmName="SHA-512" hashValue="nX2Xp6kRst+q1Td92/42U6g2nJHb+B2Du7khg6I3LzX1VKnn9kneKc9i3a2l3HPmWROpy3/uR6TZdikKHoLE+A==" saltValue="AuMOK8M1+v1rPxZak6eGYw=="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7.9988611965042438</v>
      </c>
      <c r="F11" s="7">
        <f t="shared" si="0"/>
        <v>11.998291794756366</v>
      </c>
      <c r="G11" s="10"/>
      <c r="H11" s="12">
        <f t="shared" si="1"/>
        <v>11.998291794756366</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0.64237561809381971</v>
      </c>
      <c r="F13" s="7">
        <f t="shared" si="0"/>
        <v>4.0469663939910641</v>
      </c>
      <c r="G13" s="10"/>
      <c r="H13" s="12">
        <f t="shared" si="1"/>
        <v>4.0469663939910641</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13.606532386159662</v>
      </c>
      <c r="E18" s="30">
        <v>1</v>
      </c>
      <c r="F18" s="7">
        <f t="shared" si="0"/>
        <v>13.606532386159662</v>
      </c>
      <c r="G18" s="75">
        <f>ModuleMarketPrice-SUM(H10:H17,H19:H21)</f>
        <v>103.35301392009612</v>
      </c>
      <c r="H18" s="12">
        <f t="shared" si="1"/>
        <v>103.35301392009612</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230.94739601708397</v>
      </c>
      <c r="G22" s="15" t="s">
        <v>61</v>
      </c>
      <c r="H22" s="8">
        <f>SUM(H10:H21)</f>
        <v>336</v>
      </c>
      <c r="I22"/>
      <c r="J22"/>
    </row>
    <row r="23" spans="1:10">
      <c r="F23" s="11"/>
    </row>
  </sheetData>
  <sheetProtection algorithmName="SHA-512" hashValue="RdeAetetH9bTJtuHt9Nv+8JXOObQ+pJLVk50QFXfyWioYphOB/h+U348/2DKP4Yv2nEr7OAnvaabxbn298xxEA==" saltValue="Qms0lqJk80OS6g0JYZNpiQ=="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56sd664fUjsXBL5C72weyCsG2vH8xEqwMmlGBQF3Dlpm+xSit2PwVgFikZkQXOyqQWkVblXjdBQG0/6ZI6+b4w==" saltValue="kEZEhWlQhe9ZZGPztQ+OGw=="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52xb25FV9lYfKnEciOf3EWdn3y/vxtnXVLfppZ38FS1cdNr6a+jUPoGGjJmEj9nO1NdcqV7NF6FW4MRj7eS7rw==" saltValue="GbsExqwYxjClT/tM9LahkA=="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1108.8</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2.8362781635975564E-2</v>
      </c>
      <c r="F11" s="7">
        <f t="shared" si="0"/>
        <v>5.6725563271951129</v>
      </c>
      <c r="G11" s="5"/>
      <c r="H11" s="12">
        <f t="shared" si="1"/>
        <v>5.6725563271951129</v>
      </c>
      <c r="I11" s="61"/>
      <c r="J11" s="2" t="s">
        <v>137</v>
      </c>
    </row>
    <row r="12" spans="1:15" ht="18" customHeight="1">
      <c r="A12" s="13" t="s">
        <v>138</v>
      </c>
      <c r="B12" s="6"/>
      <c r="C12" s="28" t="s">
        <v>89</v>
      </c>
      <c r="D12" s="4">
        <v>2.1</v>
      </c>
      <c r="E12" s="30">
        <f>1/ModuleWidth</f>
        <v>0.57736720554272514</v>
      </c>
      <c r="F12" s="7">
        <f t="shared" si="0"/>
        <v>1.2124711316397228</v>
      </c>
      <c r="G12" s="67">
        <f>D12*(1+Tariff301)</f>
        <v>2.625</v>
      </c>
      <c r="H12" s="12">
        <f t="shared" si="1"/>
        <v>1.5155889145496535</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28.075027458834839</v>
      </c>
      <c r="G22" s="15" t="s">
        <v>61</v>
      </c>
      <c r="H22" s="8">
        <f>SUM(H10:H21)</f>
        <v>28.488145241744768</v>
      </c>
      <c r="I22"/>
      <c r="J22"/>
    </row>
    <row r="23" spans="1:10">
      <c r="F23" s="11"/>
    </row>
  </sheetData>
  <sheetProtection algorithmName="SHA-512" hashValue="HPofFiOozfCFsSMU8K2eerJvk1fyAjsBh2smjUJd6jsXC30b5/IMgNaTifPQDx1xrc0iXOdSjx8qHejd3+x9RA==" saltValue="0UUbzSsaYYDX2isAiUu1iw=="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161.8686131386861</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o+DN4tJkeD9c1yihxjb60QK2A0NXF97XmtdzZZnka/8KuV088GUL06cOpuRN95Ju9a0XwWwW0nzMAHXEZlWVQ==" saltValue="QUGvILvGl9q3SUyy4lsAwQ=="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1108.8</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11.156565656565657</v>
      </c>
      <c r="G13" s="5"/>
      <c r="H13" s="12">
        <f t="shared" si="1"/>
        <v>11.156565656565657</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9.0187590187590185</v>
      </c>
      <c r="G15" s="4"/>
      <c r="H15" s="12">
        <f t="shared" si="1"/>
        <v>9.0187590187590185</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79.708424675324679</v>
      </c>
      <c r="G22" s="15" t="s">
        <v>61</v>
      </c>
      <c r="H22" s="8">
        <f>SUM(H10:H21)</f>
        <v>83.68932467532467</v>
      </c>
      <c r="I22"/>
      <c r="J22"/>
    </row>
    <row r="23" spans="1:10">
      <c r="F23" s="11"/>
    </row>
  </sheetData>
  <sheetProtection algorithmName="SHA-512" hashValue="7JZcataYiGMbbXjYzjPcGd3ONQ6yJH1TFELrfb+z0KNIo6gOMhXggIqwqemDgVCq92HEbQmJhB82/Z6xJ4bJ5Q==" saltValue="MrgdkhyC2RP/mg3onZEx8w=="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221.76</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340.65656565656565</v>
      </c>
      <c r="G12" s="5"/>
      <c r="H12" s="12">
        <f t="shared" si="1"/>
        <v>340.65656565656565</v>
      </c>
      <c r="I12" s="37"/>
      <c r="J12" s="2" t="s">
        <v>302</v>
      </c>
    </row>
    <row r="13" spans="1:15" ht="18" customHeight="1">
      <c r="A13" s="13" t="s">
        <v>163</v>
      </c>
      <c r="B13" s="6">
        <v>25000</v>
      </c>
      <c r="C13" s="28"/>
      <c r="D13" s="4"/>
      <c r="E13" s="30"/>
      <c r="F13" s="7">
        <f t="shared" si="0"/>
        <v>112.73448773448774</v>
      </c>
      <c r="G13" s="5"/>
      <c r="H13" s="12">
        <f t="shared" si="1"/>
        <v>112.73448773448774</v>
      </c>
      <c r="I13" s="37"/>
      <c r="J13" s="2" t="s">
        <v>164</v>
      </c>
    </row>
    <row r="14" spans="1:15" ht="18" customHeight="1">
      <c r="A14" s="13" t="s">
        <v>303</v>
      </c>
      <c r="B14" s="6">
        <v>30000</v>
      </c>
      <c r="C14" s="28" t="s">
        <v>22</v>
      </c>
      <c r="D14" s="4">
        <v>60</v>
      </c>
      <c r="E14" s="30">
        <v>1</v>
      </c>
      <c r="F14" s="7">
        <f t="shared" si="0"/>
        <v>195.2813852813853</v>
      </c>
      <c r="G14" s="5"/>
      <c r="H14" s="12">
        <f t="shared" si="1"/>
        <v>195.2813852813853</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679.17243867243872</v>
      </c>
      <c r="G22" s="15" t="s">
        <v>61</v>
      </c>
      <c r="H22" s="8">
        <f>SUM(H10:H21)</f>
        <v>686.67243867243872</v>
      </c>
      <c r="I22"/>
      <c r="J22"/>
    </row>
    <row r="23" spans="1:10">
      <c r="F23" s="11"/>
    </row>
  </sheetData>
  <sheetProtection algorithmName="SHA-512" hashValue="TuEg8jlVrcaCVosEpRHjrdPdhA2DxF26I0O+gGMFgwIcmFNp+/MEjMvq2Bqh/STKuZJWky41nsLSpeIxMiOe3A==" saltValue="/EGGJGdwTdVh/GcRUAnPkw=="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34.838598815264653</v>
      </c>
      <c r="E10" s="30">
        <v>1</v>
      </c>
      <c r="F10" s="7">
        <f t="shared" ref="F10:F21" si="0">($B10/$A$3+$E10*$D10)*includerow($I10,IncludeESS,IncludeIndirect)</f>
        <v>34.838598815264653</v>
      </c>
      <c r="G10" s="67">
        <f>B10/$A$3+(SysModuleMMP+SysInverterMMP+SysESSMMP+SysSBOSMMP+SysEBOSMMP)*SalesTaxRate</f>
        <v>42.186058470470954</v>
      </c>
      <c r="H10" s="12">
        <f t="shared" ref="H10:H21" si="1">IF($G10&lt;&gt;0,$G10*$E10*includerow($I10,IncludeESS,IncludeIndirect),($B10/$A$3+$D10*$E10)*includerow($I10,IncludeESS,IncludeIndirect))</f>
        <v>42.186058470470954</v>
      </c>
      <c r="I10" s="37"/>
      <c r="J10" s="2" t="s">
        <v>167</v>
      </c>
    </row>
    <row r="11" spans="1:15" ht="18" customHeight="1">
      <c r="A11" s="13" t="s">
        <v>168</v>
      </c>
      <c r="B11" s="6"/>
      <c r="C11" s="28" t="s">
        <v>22</v>
      </c>
      <c r="D11" s="66">
        <f>(SysModuleMSP+SysInverterMSP+SysESSMSP+SysSBOSMSP+SysEBOSMSP+SysFieldworkMSP+SysOfficeworkMSP)*ContingencyRate</f>
        <v>83.919002943198507</v>
      </c>
      <c r="E11" s="30">
        <v>1</v>
      </c>
      <c r="F11" s="7">
        <f t="shared" si="0"/>
        <v>83.919002943198507</v>
      </c>
      <c r="G11" s="67">
        <f>B11/$A$3+(SysModuleMMP+SysInverterMMP+SysESSMMP+SysSBOSMMP+SysEBOSMMP+SysFieldworkMMP+SysOfficeworkMMP)*ContingencyRate</f>
        <v>91.623244887341855</v>
      </c>
      <c r="H11" s="12">
        <f t="shared" si="1"/>
        <v>91.623244887341855</v>
      </c>
      <c r="I11" s="37"/>
      <c r="J11" s="2" t="s">
        <v>169</v>
      </c>
    </row>
    <row r="12" spans="1:15" ht="18" customHeight="1">
      <c r="A12" s="13" t="s">
        <v>170</v>
      </c>
      <c r="B12" s="6">
        <v>1000000</v>
      </c>
      <c r="C12" s="28" t="s">
        <v>22</v>
      </c>
      <c r="D12" s="66">
        <f>(SysModuleMSP+SysInverterMSP+SysESSMSP+SysSBOSMSP+SysEBOSMSP+SysFieldworkMSP+SysOfficeworkMSP)*OverheadRate</f>
        <v>16.7838005886397</v>
      </c>
      <c r="E12" s="30">
        <v>1</v>
      </c>
      <c r="F12" s="7">
        <f t="shared" si="0"/>
        <v>26.7838005886397</v>
      </c>
      <c r="G12" s="67">
        <f>B12/$A$3+(SysModuleMMP+SysInverterMMP+SysESSMMP+SysSBOSMMP+SysEBOSMMP+SysFieldworkMMP+SysOfficeworkMMP)*OverheadRate</f>
        <v>28.324648977468367</v>
      </c>
      <c r="H12" s="12">
        <f t="shared" si="1"/>
        <v>28.324648977468367</v>
      </c>
      <c r="I12" s="37"/>
      <c r="J12" s="2" t="s">
        <v>171</v>
      </c>
    </row>
    <row r="13" spans="1:15" ht="18" customHeight="1">
      <c r="A13" s="13" t="s">
        <v>107</v>
      </c>
      <c r="B13" s="6"/>
      <c r="C13" s="28" t="s">
        <v>22</v>
      </c>
      <c r="D13" s="66">
        <f>( SysModuleMSP+ SysInverterMSP+ SysESSMSP+ SysSBOSMSP+ SysEBOSMSP+ SysFieldworkMSP+ SysOfficeworkMSP+SUM(F10:F12))* DeveloperProfitMSP</f>
        <v>145.91371689688583</v>
      </c>
      <c r="E13" s="30">
        <v>1</v>
      </c>
      <c r="F13" s="7">
        <f t="shared" si="0"/>
        <v>145.91371689688583</v>
      </c>
      <c r="G13" s="67">
        <f>B13/$A$3+(SysModuleMMP+SysInverterMMP+SysESSMMP+SysSBOSMMP+SysEBOSMMP+SysFieldworkMMP+SysOfficeworkMMP+SUM(H10:H12))*DeveloperProfitMMP</f>
        <v>159.56790800656947</v>
      </c>
      <c r="H13" s="12">
        <f t="shared" si="1"/>
        <v>159.56790800656947</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291.45511924398869</v>
      </c>
      <c r="G22" s="15" t="s">
        <v>61</v>
      </c>
      <c r="H22" s="8">
        <f>SUM(H10:H21)</f>
        <v>321.70186034185065</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wkP4OJtBb0NxU+owcbH6fwd+xvYfOBJ17H4E0vBy6OFEdS0+ZbCF9OD/QHVzyNrHsjjtqchkhSdyoomeVjO6EQ==" saltValue="rvnUOmUP0bxQeyaGeqxg+A=="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221.76</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140.37513729417418</v>
      </c>
      <c r="E12" s="30">
        <f>PartsLossRate/ModuleEfficiency</f>
        <v>0.01</v>
      </c>
      <c r="F12" s="7">
        <f t="shared" si="0"/>
        <v>1.4037513729417419</v>
      </c>
      <c r="G12" s="5"/>
      <c r="H12" s="12">
        <f t="shared" si="1"/>
        <v>1.4037513729417419</v>
      </c>
      <c r="I12" s="37"/>
      <c r="J12" s="2" t="s">
        <v>178</v>
      </c>
    </row>
    <row r="13" spans="1:15" ht="18" customHeight="1">
      <c r="A13" s="13" t="s">
        <v>179</v>
      </c>
      <c r="B13" s="6"/>
      <c r="C13" s="28" t="s">
        <v>22</v>
      </c>
      <c r="D13" s="66">
        <f>SysModuleMSP</f>
        <v>230.94739601708397</v>
      </c>
      <c r="E13" s="30">
        <f>ModuleLossRate</f>
        <v>1E-3</v>
      </c>
      <c r="F13" s="7">
        <f t="shared" si="0"/>
        <v>0.23094739601708397</v>
      </c>
      <c r="G13" s="5"/>
      <c r="H13" s="12">
        <f t="shared" si="1"/>
        <v>0.23094739601708397</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3.9396703562159172</v>
      </c>
      <c r="E17" s="30">
        <f>IncludeIndirect*1</f>
        <v>1</v>
      </c>
      <c r="F17" s="7">
        <f t="shared" si="0"/>
        <v>3.9396703562159172</v>
      </c>
      <c r="G17" s="4"/>
      <c r="H17" s="12">
        <f t="shared" si="1"/>
        <v>3.9396703562159172</v>
      </c>
      <c r="I17" s="37" t="s">
        <v>83</v>
      </c>
      <c r="J17" s="2" t="s">
        <v>189</v>
      </c>
    </row>
    <row r="18" spans="1:10" ht="18" customHeight="1">
      <c r="A18" s="13" t="s">
        <v>190</v>
      </c>
      <c r="B18" s="6"/>
      <c r="C18" s="29" t="s">
        <v>188</v>
      </c>
      <c r="D18" s="66">
        <f>SystemMSP*InsuranceRate</f>
        <v>4.9245879452698968</v>
      </c>
      <c r="E18" s="30">
        <f>IncludeIndirect*1</f>
        <v>1</v>
      </c>
      <c r="F18" s="7">
        <f t="shared" si="0"/>
        <v>4.9245879452698968</v>
      </c>
      <c r="G18" s="4"/>
      <c r="H18" s="12">
        <f t="shared" si="1"/>
        <v>4.9245879452698968</v>
      </c>
      <c r="I18" s="37" t="s">
        <v>83</v>
      </c>
      <c r="J18" s="2" t="s">
        <v>305</v>
      </c>
    </row>
    <row r="19" spans="1:10" ht="18" customHeight="1">
      <c r="A19" s="13" t="s">
        <v>170</v>
      </c>
      <c r="B19" s="6">
        <v>8853.3033333333296</v>
      </c>
      <c r="C19" s="29"/>
      <c r="D19" s="4"/>
      <c r="E19" s="30"/>
      <c r="F19" s="7">
        <f t="shared" si="0"/>
        <v>39.922904641654625</v>
      </c>
      <c r="G19" s="4"/>
      <c r="H19" s="12">
        <f t="shared" si="1"/>
        <v>39.922904641654625</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61.647917396117236</v>
      </c>
      <c r="G22" s="15" t="s">
        <v>61</v>
      </c>
      <c r="H22" s="8">
        <f>SUM(H10:H21)</f>
        <v>61.647917396117236</v>
      </c>
      <c r="I22"/>
      <c r="J22"/>
    </row>
    <row r="23" spans="1:10">
      <c r="F23" s="11"/>
    </row>
  </sheetData>
  <sheetProtection algorithmName="SHA-512" hashValue="LroIno3eug7ozaO2TXJx2aq9iDhNnSAlH8ZQht2UH9ixSxU/AbgnMbggMF0heXuukokUBUigLgqDDk9JgkSV1w==" saltValue="wWuV2FnOIofj32HIm8fyCA=="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4.4939999999999998</v>
      </c>
      <c r="D10" s="37" t="s">
        <v>89</v>
      </c>
      <c r="E10" s="59" t="str">
        <f t="shared" si="0"/>
        <v>/</v>
      </c>
      <c r="F10" s="37"/>
      <c r="G10" s="58"/>
      <c r="H10" s="2"/>
    </row>
    <row r="11" spans="1:8">
      <c r="A11" s="13" t="s">
        <v>1</v>
      </c>
      <c r="B11" s="13" t="s">
        <v>203</v>
      </c>
      <c r="C11" s="2">
        <v>1.732</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fmi/LEARwQcrzWlLuXe4PoV+z+/cXeS76mJLImiOKYhIqwzIwaYIjcNXBWBjtzjt0jLPNHJoPQwBeHq9pcFU+Q==" saltValue="Z+3I4QB4qfjuYl+WocMBoA=="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2026-04-09T15:12:08Z</dcterms:modified>
</cp:coreProperties>
</file>