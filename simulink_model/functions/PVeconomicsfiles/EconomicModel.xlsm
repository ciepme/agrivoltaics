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100A2592-A01B-4069-BF14-09197A737DFC}" xr6:coauthVersionLast="47" xr6:coauthVersionMax="47" xr10:uidLastSave="{00000000-0000-0000-0000-000000000000}"/>
  <bookViews>
    <workbookView xWindow="9600" yWindow="389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21" i="14"/>
  <c r="H13" i="17"/>
  <c r="F15" i="14"/>
  <c r="F18" i="14"/>
  <c r="F21" i="20"/>
  <c r="F10" i="18"/>
  <c r="F12" i="20"/>
  <c r="H20" i="21"/>
  <c r="F15" i="19"/>
  <c r="H14" i="20"/>
  <c r="H20" i="3"/>
  <c r="H16" i="14"/>
  <c r="F19" i="20"/>
  <c r="F18" i="3"/>
  <c r="H15" i="21"/>
  <c r="H15" i="14"/>
  <c r="F17" i="24"/>
  <c r="F17" i="14"/>
  <c r="H20" i="17"/>
  <c r="H18" i="3"/>
  <c r="H12" i="17"/>
  <c r="H10" i="17"/>
  <c r="F21" i="22"/>
  <c r="H17" i="21"/>
  <c r="F20" i="17"/>
  <c r="H21" i="14"/>
  <c r="H12" i="19"/>
  <c r="F12" i="17"/>
  <c r="F11" i="21"/>
  <c r="H19" i="3"/>
  <c r="H13" i="20"/>
  <c r="H20" i="14"/>
  <c r="H17" i="17"/>
  <c r="H19" i="14"/>
  <c r="H17" i="20"/>
  <c r="F10" i="21"/>
  <c r="H17" i="14"/>
  <c r="F15" i="20"/>
  <c r="F17" i="17"/>
  <c r="F17" i="20"/>
  <c r="F11" i="17"/>
  <c r="F20" i="21"/>
  <c r="H11" i="17"/>
  <c r="F10" i="20"/>
  <c r="H11" i="20"/>
  <c r="H16" i="17"/>
  <c r="F13" i="20"/>
  <c r="F19" i="3"/>
  <c r="F19" i="14"/>
  <c r="F11" i="20"/>
  <c r="H10" i="24"/>
  <c r="H10" i="16"/>
  <c r="H21" i="3"/>
  <c r="F12" i="21"/>
  <c r="F17" i="21"/>
  <c r="H21" i="20"/>
  <c r="H10" i="20"/>
  <c r="H21" i="21"/>
  <c r="F20" i="14"/>
  <c r="F14" i="21"/>
  <c r="H12" i="20"/>
  <c r="F20" i="16"/>
  <c r="F16" i="14"/>
  <c r="H13" i="19"/>
  <c r="F20" i="20"/>
  <c r="H18" i="14"/>
  <c r="F20" i="3"/>
  <c r="F10" i="17"/>
  <c r="H21" i="17"/>
  <c r="F21" i="3"/>
  <c r="H14" i="18"/>
  <c r="F21" i="21"/>
  <c r="F21" i="17"/>
  <c r="F13" i="21"/>
  <c r="F14" i="17"/>
  <c r="H11" i="16"/>
  <c r="F19" i="17"/>
  <c r="H11" i="18"/>
  <c r="H15" i="17"/>
  <c r="F16" i="21"/>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0" i="19"/>
  <c r="H20" i="19"/>
  <c r="F16" i="18"/>
  <c r="F20" i="18"/>
  <c r="H20" i="22"/>
  <c r="H13" i="18"/>
  <c r="H17" i="18"/>
  <c r="F21" i="24"/>
  <c r="F21" i="16"/>
  <c r="F17" i="18"/>
  <c r="H12" i="18"/>
  <c r="F16" i="24"/>
  <c r="H15" i="16"/>
  <c r="F17" i="19"/>
  <c r="H19" i="16"/>
  <c r="F18" i="18"/>
  <c r="F19" i="22"/>
  <c r="F11" i="22"/>
  <c r="F12" i="24"/>
  <c r="H11" i="22"/>
  <c r="F13" i="18"/>
  <c r="H20" i="24"/>
  <c r="F12" i="19"/>
  <c r="F15" i="18"/>
  <c r="H13" i="24"/>
  <c r="H20" i="16"/>
  <c r="H13" i="16"/>
  <c r="H19" i="24"/>
  <c r="H16" i="18"/>
  <c r="H18" i="16"/>
  <c r="F12" i="18"/>
  <c r="F14" i="24"/>
  <c r="F15" i="21"/>
  <c r="H16" i="24"/>
  <c r="H21" i="19"/>
  <c r="H14" i="17"/>
  <c r="H13" i="21"/>
  <c r="F15" i="16"/>
  <c r="H12" i="24"/>
  <c r="F13" i="19"/>
  <c r="F10" i="22"/>
  <c r="H10" i="19"/>
  <c r="H17" i="16"/>
  <c r="F11" i="19"/>
  <c r="H17" i="19"/>
  <c r="H11" i="24"/>
  <c r="H18" i="18"/>
  <c r="H19" i="22"/>
  <c r="H18" i="19"/>
  <c r="H10" i="22"/>
  <c r="F20" i="19"/>
  <c r="H21" i="16"/>
  <c r="H11" i="21"/>
  <c r="F20" i="24"/>
  <c r="F18" i="19"/>
  <c r="F15" i="17"/>
  <c r="F11" i="16"/>
  <c r="F19" i="19"/>
  <c r="F19" i="24"/>
  <c r="H21" i="22"/>
  <c r="F16" i="16"/>
  <c r="H21" i="24"/>
  <c r="F11" i="24"/>
  <c r="H19" i="18"/>
  <c r="F21" i="19"/>
  <c r="F14" i="18"/>
  <c r="F15" i="24"/>
  <c r="H16" i="19"/>
  <c r="F16" i="22"/>
  <c r="H11" i="19"/>
  <c r="H14" i="19"/>
  <c r="F12" i="16"/>
  <c r="F14" i="19"/>
  <c r="H16" i="16"/>
  <c r="F10" i="24"/>
  <c r="F18" i="16"/>
  <c r="F13" i="24"/>
  <c r="H10" i="18"/>
  <c r="F17" i="16"/>
  <c r="H15" i="19"/>
  <c r="H14" i="21"/>
  <c r="F16" i="17"/>
  <c r="F11" i="18"/>
  <c r="F14" i="20"/>
  <c r="H12" i="21"/>
  <c r="H15" i="20"/>
  <c r="F19" i="18"/>
  <c r="H16" i="21"/>
  <c r="F13" i="16"/>
  <c r="F18" i="24"/>
  <c r="F20" i="22"/>
  <c r="H19" i="19"/>
  <c r="H21" i="18"/>
  <c r="H19" i="20"/>
  <c r="F10" i="16"/>
  <c r="F16" i="20"/>
  <c r="H12" i="16"/>
  <c r="H18" i="24"/>
  <c r="H14" i="24"/>
  <c r="F16" i="19"/>
  <c r="H14" i="16"/>
  <c r="H10" i="21"/>
  <c r="F13" i="17"/>
  <c r="H15" i="18"/>
  <c r="H19" i="17"/>
  <c r="F19" i="16"/>
  <c r="F14" i="16"/>
  <c r="H16" i="22"/>
  <c r="H17" i="24"/>
  <c r="F21" i="18"/>
  <c r="H15" i="24"/>
  <c r="H20" i="18"/>
  <c r="D18" i="17" l="1"/>
  <c r="D18" i="20"/>
  <c r="G18" i="17"/>
  <c r="D18" i="21"/>
  <c r="H9" i="22"/>
  <c r="E9" i="22"/>
  <c r="F9" i="22"/>
  <c r="A2" i="19"/>
  <c r="A2" i="18"/>
  <c r="A2" i="24"/>
  <c r="A2" i="16"/>
  <c r="H9" i="14"/>
  <c r="F9" i="14"/>
  <c r="E9" i="14"/>
  <c r="H9" i="17"/>
  <c r="F9" i="17"/>
  <c r="E9" i="17"/>
  <c r="H9" i="20"/>
  <c r="F9" i="20"/>
  <c r="E9" i="20"/>
  <c r="H9" i="21"/>
  <c r="F9" i="21"/>
  <c r="E9" i="21"/>
  <c r="H9" i="3"/>
  <c r="H16" i="20"/>
  <c r="F19" i="21"/>
  <c r="F18" i="20"/>
  <c r="F18" i="17"/>
  <c r="H18" i="17"/>
  <c r="F18" i="21"/>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H14" i="3"/>
  <c r="F12" i="3"/>
  <c r="H16" i="3"/>
  <c r="F16" i="3"/>
  <c r="F14" i="3"/>
  <c r="F13" i="3"/>
  <c r="H13" i="3"/>
  <c r="D12" i="22" l="1"/>
  <c r="D15" i="22"/>
  <c r="H22" i="16"/>
  <c r="G15" i="3" s="1"/>
  <c r="F22" i="16"/>
  <c r="D15" i="3" s="1"/>
  <c r="H12" i="22"/>
  <c r="F15" i="22"/>
  <c r="H15" i="3"/>
  <c r="F15" i="3"/>
  <c r="F22" i="20" l="1"/>
  <c r="D11" i="3" s="1"/>
  <c r="F12" i="22"/>
  <c r="H15" i="22"/>
  <c r="F11" i="3"/>
  <c r="D14" i="22" l="1"/>
  <c r="H22" i="17"/>
  <c r="G12" i="3" s="1"/>
  <c r="F14" i="22"/>
  <c r="H12" i="3"/>
  <c r="F22" i="21" l="1"/>
  <c r="D10" i="3" s="1"/>
  <c r="F10" i="3"/>
  <c r="H14" i="22"/>
  <c r="F14" i="14"/>
  <c r="H14" i="14"/>
  <c r="H18" i="20"/>
  <c r="H19" i="21"/>
  <c r="G18" i="21" l="1"/>
  <c r="G20" i="20"/>
  <c r="D12" i="14"/>
  <c r="D11" i="14"/>
  <c r="D10" i="14"/>
  <c r="D13" i="22"/>
  <c r="H18" i="21"/>
  <c r="F10" i="14"/>
  <c r="F12" i="14"/>
  <c r="H20" i="20"/>
  <c r="F13" i="22"/>
  <c r="F11" i="14"/>
  <c r="D13" i="14" l="1"/>
  <c r="H22" i="20"/>
  <c r="G11" i="3" s="1"/>
  <c r="H22" i="21"/>
  <c r="G10" i="3" s="1"/>
  <c r="H13" i="22"/>
  <c r="F13" i="14"/>
  <c r="H11" i="3"/>
  <c r="H10" i="3"/>
  <c r="G12" i="14" l="1"/>
  <c r="G11" i="14"/>
  <c r="G10" i="14"/>
  <c r="F22" i="14"/>
  <c r="D17" i="3" s="1"/>
  <c r="H11" i="14"/>
  <c r="H12" i="14"/>
  <c r="F17" i="3"/>
  <c r="H10" i="14"/>
  <c r="G13" i="14" l="1"/>
  <c r="F22" i="3"/>
  <c r="H13" i="14"/>
  <c r="D18" i="22" l="1"/>
  <c r="D17" i="22"/>
  <c r="H22" i="14"/>
  <c r="G17" i="3" s="1"/>
  <c r="H17" i="3"/>
  <c r="F18" i="22"/>
  <c r="H17" i="22"/>
  <c r="H22" i="3" l="1"/>
  <c r="H18" i="22"/>
  <c r="F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23C4233F-5FDD-4E63-BE70-D4440B6B2EDD}">
      <text>
        <r>
          <rPr>
            <sz val="9"/>
            <color indexed="81"/>
            <rFont val="Tahoma"/>
            <family val="2"/>
          </rPr>
          <t>PV Benchmark Range:     $1172 - $1461            PV+ESS Range:          $1728 - $2365</t>
        </r>
      </text>
    </comment>
    <comment ref="H22" authorId="1" shapeId="0" xr:uid="{DF47FD1F-A970-4611-BA6B-944EEF95401D}">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C2DC7491-52B9-4736-92C2-E392257CE907}">
      <text>
        <r>
          <rPr>
            <sz val="9"/>
            <color indexed="81"/>
            <rFont val="Tahoma"/>
            <family val="2"/>
          </rPr>
          <t>Benchmark Range:     $211 - $289</t>
        </r>
      </text>
    </comment>
    <comment ref="H22" authorId="1" shapeId="0" xr:uid="{CD8C61EA-ACE5-4B6A-BFF7-BB20BD60CA27}">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B6A0D053-BAB6-418E-AD67-C24881723E1E}">
      <text>
        <r>
          <rPr>
            <sz val="9"/>
            <color indexed="81"/>
            <rFont val="Tahoma"/>
            <family val="2"/>
          </rPr>
          <t>Benchmark Range:     $35 - $104</t>
        </r>
      </text>
    </comment>
    <comment ref="H22" authorId="1" shapeId="0" xr:uid="{E5C4B640-C475-4EF4-9658-8861CDB77C88}">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AD1B062E-1104-458E-B42F-F4CA228A0BD4}">
      <text>
        <r>
          <rPr>
            <sz val="9"/>
            <color indexed="81"/>
            <rFont val="Tahoma"/>
            <family val="2"/>
          </rPr>
          <t>Benchmark Range:     $148 - $272</t>
        </r>
      </text>
    </comment>
    <comment ref="H22" authorId="1" shapeId="0" xr:uid="{07BA494C-C4C1-4504-A0B6-7FA82DB2547B}">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9CB5501F-B3A4-4E16-B1E5-0E9CF1C28A34}">
      <text>
        <r>
          <rPr>
            <sz val="9"/>
            <color indexed="81"/>
            <rFont val="Tahoma"/>
            <family val="2"/>
          </rPr>
          <t>PV Benchmark Range:     $28 - $47            PV+ESS Range:          $30 - $49</t>
        </r>
      </text>
    </comment>
    <comment ref="H22" authorId="1" shapeId="0" xr:uid="{6D5043D8-5FD8-4A71-B147-82907435FBF0}">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C606B4F-EB10-463C-BAD6-78AEF3D9231D}">
      <text>
        <r>
          <rPr>
            <sz val="9"/>
            <color indexed="81"/>
            <rFont val="Tahoma"/>
            <family val="2"/>
          </rPr>
          <t>PV Benchmark Range:     $245 - $245            PV+ESS Range:          $245 - $245</t>
        </r>
      </text>
    </comment>
    <comment ref="H22" authorId="1" shapeId="0" xr:uid="{B9E6486D-7BC6-4C59-AFE0-0C17D4C1CE61}">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BE35E4D8-ADB4-429C-8CBE-CEB75D024BD8}">
      <text>
        <r>
          <rPr>
            <sz val="9"/>
            <color indexed="81"/>
            <rFont val="Tahoma"/>
            <family val="2"/>
          </rPr>
          <t>PV Benchmark Range:     $55 - $97            PV+ESS Range:          $88 - $130</t>
        </r>
      </text>
    </comment>
    <comment ref="H22" authorId="1" shapeId="0" xr:uid="{9F70F675-16B5-469F-ADA5-AC1CFCA8C768}">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3C076565-C243-40C9-9185-98B304D69E39}">
      <text>
        <r>
          <rPr>
            <sz val="9"/>
            <color indexed="81"/>
            <rFont val="Tahoma"/>
            <family val="2"/>
          </rPr>
          <t>PV Benchmark Range:     $148 - $165            PV+ESS Range:          $148 - $165</t>
        </r>
      </text>
    </comment>
    <comment ref="H22" authorId="1" shapeId="0" xr:uid="{6B4D9684-EF90-4230-971E-24BA682987B6}">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573A284E-198E-4B3D-8238-3E1D1B2D5AAB}">
      <text>
        <r>
          <rPr>
            <sz val="9"/>
            <color indexed="81"/>
            <rFont val="Tahoma"/>
            <family val="2"/>
          </rPr>
          <t>PV Benchmark Range:     $189 - $236            PV+ESS Range:          $276 - $381</t>
        </r>
      </text>
    </comment>
    <comment ref="H22" authorId="1" shapeId="0" xr:uid="{ED64BEF4-7378-4434-9DFF-DC17906A2254}">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35F8A1CF-E4B2-4416-AE47-158EACD98FEA}">
      <text>
        <r>
          <rPr>
            <sz val="9"/>
            <color indexed="81"/>
            <rFont val="Tahoma"/>
            <family val="2"/>
          </rPr>
          <t>PV Benchmark Range:     $17 - $26            PV+ESS Range:          $35 - $57</t>
        </r>
      </text>
    </comment>
    <comment ref="H22" authorId="1" shapeId="0" xr:uid="{86BFA3E7-874F-4BE5-A57F-7807627F3485}">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<sst xmlns="http://schemas.openxmlformats.org/spreadsheetml/2006/main" count="697" uniqueCount="320">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</sst>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231.93369878967954</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147.75331950608998</c:v>
                </c:pt>
                <c:pt idx="1">
                  <c:v>149.69885379636111</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439.58306001811872</c:v>
                </c:pt>
                <c:pt idx="1">
                  <c:v>459.48756001811864</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1059.1811112788766</c:v>
                </c:pt>
                <c:pt idx="1">
                  <c:v>1066.6811112788766</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354.15823142827639</c:v>
                </c:pt>
                <c:pt idx="1">
                  <c:v>384.17546974773086</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1.4775331950608999</c:v>
                </c:pt>
                <c:pt idx="1">
                  <c:v>1.4775331950608999</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0.23193369878967954</c:v>
                </c:pt>
                <c:pt idx="1">
                  <c:v>0.23193369878967954</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4.9239047690493818</c:v>
                </c:pt>
                <c:pt idx="1">
                  <c:v>4.9239047690493818</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6.1548809613117275</c:v>
                </c:pt>
                <c:pt idx="1">
                  <c:v>6.1548809613117275</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66.837561024711832</c:v>
                </c:pt>
                <c:pt idx="1">
                  <c:v>66.837561024711832</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11" workbookViewId="0">
      <selection activeCell="C3" sqref="C3"/>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132.46</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231.93369878967954</v>
      </c>
      <c r="E10" s="30">
        <v>1</v>
      </c>
      <c r="F10" s="7">
        <f t="shared" ref="F10:F21" si="0">E10*D10*includerow(I10,IncludeESS,IncludeIndirect)</f>
        <v>231.93369878967954</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29.550663901217995</v>
      </c>
      <c r="E13" s="30">
        <f>1/ModuleEfficiency</f>
        <v>5</v>
      </c>
      <c r="F13" s="7">
        <f t="shared" si="0"/>
        <v>147.75331950608998</v>
      </c>
      <c r="G13" s="49">
        <f>SBOSMMP</f>
        <v>29.939770759272221</v>
      </c>
      <c r="H13" s="7">
        <f t="shared" si="1"/>
        <v>149.69885379636111</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87.91661200362374</v>
      </c>
      <c r="E15" s="30">
        <f>1/ModuleEfficiency</f>
        <v>5</v>
      </c>
      <c r="F15" s="7">
        <f t="shared" si="0"/>
        <v>439.58306001811872</v>
      </c>
      <c r="G15" s="49">
        <f>FieldworkMMP</f>
        <v>91.897512003623731</v>
      </c>
      <c r="H15" s="7">
        <f t="shared" si="1"/>
        <v>459.48756001811864</v>
      </c>
      <c r="I15" s="37"/>
      <c r="J15" s="2"/>
      <c r="K15"/>
      <c r="L15"/>
      <c r="M15"/>
      <c r="N15"/>
      <c r="O15"/>
      <c r="P15"/>
      <c r="Q15"/>
      <c r="R15"/>
      <c r="S15"/>
      <c r="T15"/>
    </row>
    <row r="16" spans="1:20" ht="18" customHeight="1">
      <c r="A16" s="13" t="s">
        <v>41</v>
      </c>
      <c r="B16" s="34" t="s">
        <v>82</v>
      </c>
      <c r="C16" s="24" t="str">
        <f>OfficeworkUnit</f>
        <v>kWdc</v>
      </c>
      <c r="D16" s="49">
        <f>OfficeworkMSP</f>
        <v>1059.1811112788766</v>
      </c>
      <c r="E16" s="30">
        <v>1</v>
      </c>
      <c r="F16" s="7">
        <f t="shared" si="0"/>
        <v>1059.1811112788766</v>
      </c>
      <c r="G16" s="49">
        <f>OfficeworkMMP</f>
        <v>1066.6811112788766</v>
      </c>
      <c r="H16" s="7">
        <f t="shared" si="1"/>
        <v>1066.6811112788766</v>
      </c>
      <c r="I16" s="37" t="s">
        <v>83</v>
      </c>
      <c r="J16" s="2"/>
      <c r="K16"/>
      <c r="L16"/>
      <c r="M16"/>
      <c r="N16"/>
      <c r="O16"/>
      <c r="P16"/>
      <c r="Q16"/>
      <c r="R16"/>
      <c r="S16"/>
      <c r="T16"/>
    </row>
    <row r="17" spans="1:20" ht="18" customHeight="1">
      <c r="A17" s="13" t="s">
        <v>11</v>
      </c>
      <c r="B17" s="65" t="s">
        <v>84</v>
      </c>
      <c r="C17" s="24" t="str">
        <f>OtherUnit</f>
        <v>kWdc</v>
      </c>
      <c r="D17" s="49">
        <f>OtherMSP</f>
        <v>354.15823142827639</v>
      </c>
      <c r="E17" s="30">
        <v>1</v>
      </c>
      <c r="F17" s="7">
        <f t="shared" si="0"/>
        <v>354.15823142827639</v>
      </c>
      <c r="G17" s="49">
        <f>OtherMMP</f>
        <v>384.17546974773086</v>
      </c>
      <c r="H17" s="7">
        <f t="shared" si="1"/>
        <v>384.17546974773086</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2461.9523845246908</v>
      </c>
      <c r="G22" s="15" t="s">
        <v>61</v>
      </c>
      <c r="H22" s="8">
        <f>SUM(H10:H21)</f>
        <v>2644.9481043301384</v>
      </c>
      <c r="I22"/>
      <c r="J22"/>
    </row>
  </sheetData>
  <sheetProtection algorithmName="SHA-512" hashValue="4pZW+QWgVGcsmRBLVeBdU0NE0RZeRTOlga6JjpFmWVNosauBF+oSx1GaG2lX6x+iaX0uwx8b5EE/poQNK8roKw==" saltValue="+MfnBWWmCPhSQ/hpTN/bp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8.1580375024983987</v>
      </c>
      <c r="F11" s="7">
        <f t="shared" si="0"/>
        <v>12.237056253747598</v>
      </c>
      <c r="G11" s="10"/>
      <c r="H11" s="12">
        <f t="shared" si="1"/>
        <v>12.237056253747598</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0.75537384282392572</v>
      </c>
      <c r="F13" s="7">
        <f t="shared" si="0"/>
        <v>4.758855209790732</v>
      </c>
      <c r="G13" s="10"/>
      <c r="H13" s="12">
        <f t="shared" si="1"/>
        <v>4.758855209790732</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13.642181883964319</v>
      </c>
      <c r="E18" s="30">
        <v>1</v>
      </c>
      <c r="F18" s="7">
        <f t="shared" si="0"/>
        <v>13.642181883964319</v>
      </c>
      <c r="G18" s="75">
        <f>ModuleMarketPrice-SUM(H10:H17,H19:H21)</f>
        <v>102.40236064530521</v>
      </c>
      <c r="H18" s="12">
        <f t="shared" si="1"/>
        <v>102.40236064530521</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231.93369878967954</v>
      </c>
      <c r="G22" s="15" t="s">
        <v>61</v>
      </c>
      <c r="H22" s="8">
        <f>SUM(H10:H21)</f>
        <v>336</v>
      </c>
      <c r="I22"/>
      <c r="J22"/>
    </row>
    <row r="23" spans="1:10">
      <c r="F23" s="11"/>
    </row>
  </sheetData>
  <sheetProtection algorithmName="SHA-512" hashValue="pRFqb0OVZ4keqy/M8jB6poHnOThHvR40eheqsmZcglZ2xgrIT7N6mUmZm9MXdO2iQtalHuGkpCS20MdJfvan/Q==" saltValue="bW5Vi9AcYdp/xluhTFmnhA=="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SqC3mKXeh91Q6HdVqwea8JJQpWQrOdeBWNkWQoeUDx9Fv2QmmF3JGCLNyAWw+YiG6jO9+hEilr37caxpRPv6MA==" saltValue="WTagjXE6OnVfpjDAuCJwTg=="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pvcWnIysgD5zPnNVWG7I3P8G+DKhUkM7KkxoKjTYEZ0S+OstOE1tojSJT9dl09PYMk7qzhyWAaZokzE5cJREbw==" saltValue="9nSA+0JJcvAuawaRT83jKA=="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662.3</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3.6221182345005445E-2</v>
      </c>
      <c r="F11" s="7">
        <f t="shared" si="0"/>
        <v>7.2442364690010894</v>
      </c>
      <c r="G11" s="5"/>
      <c r="H11" s="12">
        <f t="shared" si="1"/>
        <v>7.2442364690010894</v>
      </c>
      <c r="I11" s="61"/>
      <c r="J11" s="2" t="s">
        <v>137</v>
      </c>
    </row>
    <row r="12" spans="1:15" ht="18" customHeight="1">
      <c r="A12" s="13" t="s">
        <v>138</v>
      </c>
      <c r="B12" s="6"/>
      <c r="C12" s="28" t="s">
        <v>89</v>
      </c>
      <c r="D12" s="4">
        <v>2.1</v>
      </c>
      <c r="E12" s="30">
        <f>1/ModuleWidth</f>
        <v>0.53163211057947901</v>
      </c>
      <c r="F12" s="7">
        <f t="shared" si="0"/>
        <v>1.1164274322169059</v>
      </c>
      <c r="G12" s="67">
        <f>D12*(1+Tariff301)</f>
        <v>2.625</v>
      </c>
      <c r="H12" s="12">
        <f t="shared" si="1"/>
        <v>1.3955342902711325</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29.550663901217995</v>
      </c>
      <c r="G22" s="15" t="s">
        <v>61</v>
      </c>
      <c r="H22" s="8">
        <f>SUM(H10:H21)</f>
        <v>29.939770759272221</v>
      </c>
      <c r="I22"/>
      <c r="J22"/>
    </row>
    <row r="23" spans="1:10">
      <c r="F23" s="11"/>
    </row>
  </sheetData>
  <sheetProtection algorithmName="SHA-512" hashValue="b9PXsJs8MnEONiZ4KS7kKKf6M+WZP+D6PvU0FVdNJfojiDtTk18Z/T/1qb1P+Ru7jpwNZczipsWVhhnnl6YclA==" saltValue="PDGXuMfFJWi6BtqE3pOICg=="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96.686131386861305</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35mVKCnqwnURh+m+tAfSh3FrxptNUl2/2bE/iFZDwlJlwy8SNW6ig47tswk4TTkL6IbnoMaHg65CtdJOHJXISA==" saltValue="gXgsJ6PtwbDm/qQJoplIrg=="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662.3</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13.284614223161711</v>
      </c>
      <c r="G13" s="5"/>
      <c r="H13" s="12">
        <f t="shared" si="1"/>
        <v>13.284614223161711</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15.098897780462027</v>
      </c>
      <c r="G15" s="4"/>
      <c r="H15" s="12">
        <f t="shared" si="1"/>
        <v>15.098897780462027</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87.91661200362374</v>
      </c>
      <c r="G22" s="15" t="s">
        <v>61</v>
      </c>
      <c r="H22" s="8">
        <f>SUM(H10:H21)</f>
        <v>91.897512003623731</v>
      </c>
      <c r="I22"/>
      <c r="J22"/>
    </row>
    <row r="23" spans="1:10">
      <c r="F23" s="11"/>
    </row>
  </sheetData>
  <sheetProtection algorithmName="SHA-512" hashValue="gmoOZn7TOlx4N3SU+Wdbh6Abh0S5b+uIMQTvS0lvLe2VlDqELl5FUAmAtvaY3JPkuMViJkdlRJvH0+BTfBOynQ==" saltValue="TRRBwvNFyPpGuFnZgePuDA=="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132.46</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553.46142231617091</v>
      </c>
      <c r="G12" s="5"/>
      <c r="H12" s="12">
        <f t="shared" si="1"/>
        <v>553.46142231617091</v>
      </c>
      <c r="I12" s="37"/>
      <c r="J12" s="2" t="s">
        <v>302</v>
      </c>
    </row>
    <row r="13" spans="1:15" ht="18" customHeight="1">
      <c r="A13" s="13" t="s">
        <v>163</v>
      </c>
      <c r="B13" s="6">
        <v>25000</v>
      </c>
      <c r="C13" s="28"/>
      <c r="D13" s="4"/>
      <c r="E13" s="30"/>
      <c r="F13" s="7">
        <f t="shared" si="0"/>
        <v>188.73622225577532</v>
      </c>
      <c r="G13" s="5"/>
      <c r="H13" s="12">
        <f t="shared" si="1"/>
        <v>188.73622225577532</v>
      </c>
      <c r="I13" s="37"/>
      <c r="J13" s="2" t="s">
        <v>164</v>
      </c>
    </row>
    <row r="14" spans="1:15" ht="18" customHeight="1">
      <c r="A14" s="13" t="s">
        <v>303</v>
      </c>
      <c r="B14" s="6">
        <v>30000</v>
      </c>
      <c r="C14" s="28" t="s">
        <v>22</v>
      </c>
      <c r="D14" s="4">
        <v>60</v>
      </c>
      <c r="E14" s="30">
        <v>1</v>
      </c>
      <c r="F14" s="7">
        <f t="shared" si="0"/>
        <v>286.48346670693036</v>
      </c>
      <c r="G14" s="5"/>
      <c r="H14" s="12">
        <f t="shared" si="1"/>
        <v>286.48346670693036</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1059.1811112788766</v>
      </c>
      <c r="G22" s="15" t="s">
        <v>61</v>
      </c>
      <c r="H22" s="8">
        <f>SUM(H10:H21)</f>
        <v>1066.6811112788766</v>
      </c>
      <c r="I22"/>
      <c r="J22"/>
    </row>
    <row r="23" spans="1:10">
      <c r="F23" s="11"/>
    </row>
  </sheetData>
  <sheetProtection algorithmName="SHA-512" hashValue="EfE49HTWERV9Uldvjpk809rqsujFm1gS73me7jk4/o0FG1QQX58I1+RTYlaHgslHA/EvSa6cXnLX9ErhKFHG6Q==" saltValue="tZZAf6frDl7u8Q1d+TVE9A=="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35.323738944366312</v>
      </c>
      <c r="E10" s="30">
        <v>1</v>
      </c>
      <c r="F10" s="7">
        <f t="shared" ref="F10:F21" si="0">($B10/$A$3+$E10*$D10)*includerow($I10,IncludeESS,IncludeIndirect)</f>
        <v>35.323738944366312</v>
      </c>
      <c r="G10" s="67">
        <f>B10/$A$3+(SysModuleMMP+SysInverterMMP+SysESSMMP+SysSBOSMMP+SysEBOSMMP)*SalesTaxRate</f>
        <v>42.607029870553909</v>
      </c>
      <c r="H10" s="12">
        <f t="shared" ref="H10:H21" si="1">IF($G10&lt;&gt;0,$G10*$E10*includerow($I10,IncludeESS,IncludeIndirect),($B10/$A$3+$D10*$E10)*includerow($I10,IncludeESS,IncludeIndirect))</f>
        <v>42.607029870553909</v>
      </c>
      <c r="I10" s="37"/>
      <c r="J10" s="2" t="s">
        <v>167</v>
      </c>
    </row>
    <row r="11" spans="1:15" ht="18" customHeight="1">
      <c r="A11" s="13" t="s">
        <v>168</v>
      </c>
      <c r="B11" s="6"/>
      <c r="C11" s="28" t="s">
        <v>22</v>
      </c>
      <c r="D11" s="66">
        <f>(SysModuleMSP+SysInverterMSP+SysESSMSP+SysSBOSMSP+SysEBOSMSP+SysFieldworkMSP+SysOfficeworkMSP)*ContingencyRate</f>
        <v>105.38970765482073</v>
      </c>
      <c r="E11" s="30">
        <v>1</v>
      </c>
      <c r="F11" s="7">
        <f t="shared" si="0"/>
        <v>105.38970765482073</v>
      </c>
      <c r="G11" s="67">
        <f>B11/$A$3+(SysModuleMMP+SysInverterMMP+SysESSMMP+SysSBOSMMP+SysEBOSMMP+SysFieldworkMMP+SysOfficeworkMMP)*ContingencyRate</f>
        <v>113.03863172912038</v>
      </c>
      <c r="H11" s="12">
        <f t="shared" si="1"/>
        <v>113.03863172912038</v>
      </c>
      <c r="I11" s="37"/>
      <c r="J11" s="2" t="s">
        <v>169</v>
      </c>
    </row>
    <row r="12" spans="1:15" ht="18" customHeight="1">
      <c r="A12" s="13" t="s">
        <v>170</v>
      </c>
      <c r="B12" s="6">
        <v>1000000</v>
      </c>
      <c r="C12" s="28" t="s">
        <v>22</v>
      </c>
      <c r="D12" s="66">
        <f>(SysModuleMSP+SysInverterMSP+SysESSMSP+SysSBOSMSP+SysEBOSMSP+SysFieldworkMSP+SysOfficeworkMSP)*OverheadRate</f>
        <v>21.077941530964146</v>
      </c>
      <c r="E12" s="30">
        <v>1</v>
      </c>
      <c r="F12" s="7">
        <f t="shared" si="0"/>
        <v>31.077941530964146</v>
      </c>
      <c r="G12" s="67">
        <f>B12/$A$3+(SysModuleMMP+SysInverterMMP+SysESSMMP+SysSBOSMMP+SysEBOSMMP+SysFieldworkMMP+SysOfficeworkMMP)*OverheadRate</f>
        <v>32.607726345824076</v>
      </c>
      <c r="H12" s="12">
        <f t="shared" si="1"/>
        <v>32.607726345824076</v>
      </c>
      <c r="I12" s="37"/>
      <c r="J12" s="2" t="s">
        <v>171</v>
      </c>
    </row>
    <row r="13" spans="1:15" ht="18" customHeight="1">
      <c r="A13" s="13" t="s">
        <v>107</v>
      </c>
      <c r="B13" s="6"/>
      <c r="C13" s="28" t="s">
        <v>22</v>
      </c>
      <c r="D13" s="66">
        <f>( SysModuleMSP+ SysInverterMSP+ SysESSMSP+ SysSBOSMSP+ SysEBOSMSP+ SysFieldworkMSP+ SysOfficeworkMSP+SUM(F10:F12))* DeveloperProfitMSP</f>
        <v>182.36684329812525</v>
      </c>
      <c r="E13" s="30">
        <v>1</v>
      </c>
      <c r="F13" s="7">
        <f t="shared" si="0"/>
        <v>182.36684329812525</v>
      </c>
      <c r="G13" s="67">
        <f>B13/$A$3+(SysModuleMMP+SysInverterMMP+SysESSMMP+SysSBOSMMP+SysEBOSMMP+SysFieldworkMMP+SysOfficeworkMMP+SUM(H10:H12))*DeveloperProfitMMP</f>
        <v>195.9220818022325</v>
      </c>
      <c r="H13" s="12">
        <f t="shared" si="1"/>
        <v>195.9220818022325</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354.15823142827639</v>
      </c>
      <c r="G22" s="15" t="s">
        <v>61</v>
      </c>
      <c r="H22" s="8">
        <f>SUM(H10:H21)</f>
        <v>384.17546974773086</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nwT2obDHHHGLjXcv+QE3fbM1895B2WsU9EKzjacn95lXAAp8F7lSsXn1cavEdrbuNjGi/5H8f6qUNPsJ9fVA0w==" saltValue="MWbl7Vc82fHjaytDLWwEGg=="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132.46</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147.75331950608998</v>
      </c>
      <c r="E12" s="30">
        <f>PartsLossRate/ModuleEfficiency</f>
        <v>0.01</v>
      </c>
      <c r="F12" s="7">
        <f t="shared" si="0"/>
        <v>1.4775331950608999</v>
      </c>
      <c r="G12" s="5"/>
      <c r="H12" s="12">
        <f t="shared" si="1"/>
        <v>1.4775331950608999</v>
      </c>
      <c r="I12" s="37"/>
      <c r="J12" s="2" t="s">
        <v>178</v>
      </c>
    </row>
    <row r="13" spans="1:15" ht="18" customHeight="1">
      <c r="A13" s="13" t="s">
        <v>179</v>
      </c>
      <c r="B13" s="6"/>
      <c r="C13" s="28" t="s">
        <v>22</v>
      </c>
      <c r="D13" s="66">
        <f>SysModuleMSP</f>
        <v>231.93369878967954</v>
      </c>
      <c r="E13" s="30">
        <f>ModuleLossRate</f>
        <v>1E-3</v>
      </c>
      <c r="F13" s="7">
        <f t="shared" si="0"/>
        <v>0.23193369878967954</v>
      </c>
      <c r="G13" s="5"/>
      <c r="H13" s="12">
        <f t="shared" si="1"/>
        <v>0.23193369878967954</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4.9239047690493818</v>
      </c>
      <c r="E17" s="30">
        <f>IncludeIndirect*1</f>
        <v>1</v>
      </c>
      <c r="F17" s="7">
        <f t="shared" si="0"/>
        <v>4.9239047690493818</v>
      </c>
      <c r="G17" s="4"/>
      <c r="H17" s="12">
        <f t="shared" si="1"/>
        <v>4.9239047690493818</v>
      </c>
      <c r="I17" s="37" t="s">
        <v>83</v>
      </c>
      <c r="J17" s="2" t="s">
        <v>189</v>
      </c>
    </row>
    <row r="18" spans="1:10" ht="18" customHeight="1">
      <c r="A18" s="13" t="s">
        <v>190</v>
      </c>
      <c r="B18" s="6"/>
      <c r="C18" s="29" t="s">
        <v>188</v>
      </c>
      <c r="D18" s="66">
        <f>SystemMSP*InsuranceRate</f>
        <v>6.1548809613117275</v>
      </c>
      <c r="E18" s="30">
        <f>IncludeIndirect*1</f>
        <v>1</v>
      </c>
      <c r="F18" s="7">
        <f t="shared" si="0"/>
        <v>6.1548809613117275</v>
      </c>
      <c r="G18" s="4"/>
      <c r="H18" s="12">
        <f t="shared" si="1"/>
        <v>6.1548809613117275</v>
      </c>
      <c r="I18" s="37" t="s">
        <v>83</v>
      </c>
      <c r="J18" s="2" t="s">
        <v>305</v>
      </c>
    </row>
    <row r="19" spans="1:10" ht="18" customHeight="1">
      <c r="A19" s="13" t="s">
        <v>170</v>
      </c>
      <c r="B19" s="6">
        <v>8853.3033333333296</v>
      </c>
      <c r="C19" s="29"/>
      <c r="D19" s="4"/>
      <c r="E19" s="30"/>
      <c r="F19" s="7">
        <f t="shared" si="0"/>
        <v>66.837561024711832</v>
      </c>
      <c r="G19" s="4"/>
      <c r="H19" s="12">
        <f t="shared" si="1"/>
        <v>66.837561024711832</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90.85186933294149</v>
      </c>
      <c r="G22" s="15" t="s">
        <v>61</v>
      </c>
      <c r="H22" s="8">
        <f>SUM(H10:H21)</f>
        <v>90.85186933294149</v>
      </c>
      <c r="I22"/>
      <c r="J22"/>
    </row>
    <row r="23" spans="1:10">
      <c r="F23" s="11"/>
    </row>
  </sheetData>
  <sheetProtection algorithmName="SHA-512" hashValue="+m3qbMb2R9S2oAzYUvm3DQ3Q9Hw2rmL1Mg/Lt9CYDZmyZnLUM2tsNO/qtTsvVbsQXI9f5YrDzK5/zkTWBQfdxg==" saltValue="M8VROWoa9J2nasEaj9OS+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3.5190000000000001</v>
      </c>
      <c r="D10" s="37" t="s">
        <v>89</v>
      </c>
      <c r="E10" s="59" t="str">
        <f t="shared" si="0"/>
        <v>/</v>
      </c>
      <c r="F10" s="37"/>
      <c r="G10" s="58"/>
      <c r="H10" s="2"/>
    </row>
    <row r="11" spans="1:8">
      <c r="A11" s="13" t="s">
        <v>1</v>
      </c>
      <c r="B11" s="13" t="s">
        <v>203</v>
      </c>
      <c r="C11" s="2">
        <v>1.881</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v2CsI6U6aP2/pvPu52AuM+mOKyFvAck7g6taRtfqfST4GGUG7ReKbyb0ACs4jCpGm2nVM10plRI3c1KXGcfyPw==" saltValue="IeHcIEx/t57DAIfi13aZd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2026-04-06T19:06:04Z</dcterms:modified>
</cp:coreProperties>
</file>