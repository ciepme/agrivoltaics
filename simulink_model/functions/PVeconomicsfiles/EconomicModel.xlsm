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06603397-97B7-4D73-B48A-2892B6084E6E}" xr6:coauthVersionLast="47" xr6:coauthVersionMax="47" xr10:uidLastSave="{00000000-0000-0000-0000-000000000000}"/>
  <bookViews>
    <workbookView xWindow="9600" yWindow="389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5" i="20"/>
  <c r="F20" i="3"/>
  <c r="H10" i="17"/>
  <c r="F10" i="20"/>
  <c r="F10" i="17"/>
  <c r="F19" i="14"/>
  <c r="H10" i="24"/>
  <c r="F21" i="14"/>
  <c r="H15" i="14"/>
  <c r="H20" i="3"/>
  <c r="F20" i="20"/>
  <c r="F16" i="14"/>
  <c r="F21" i="20"/>
  <c r="H17" i="20"/>
  <c r="F11" i="17"/>
  <c r="H13" i="19"/>
  <c r="F17" i="24"/>
  <c r="H17" i="21"/>
  <c r="H20" i="14"/>
  <c r="F11" i="20"/>
  <c r="H11" i="17"/>
  <c r="H21" i="14"/>
  <c r="F19" i="17"/>
  <c r="H20" i="17"/>
  <c r="H21" i="21"/>
  <c r="H12" i="17"/>
  <c r="H11" i="20"/>
  <c r="F15" i="14"/>
  <c r="F14" i="17"/>
  <c r="H18" i="3"/>
  <c r="F18" i="14"/>
  <c r="H13" i="17"/>
  <c r="F14" i="21"/>
  <c r="F18" i="3"/>
  <c r="H11" i="18"/>
  <c r="F13" i="20"/>
  <c r="F19" i="3"/>
  <c r="F20" i="21"/>
  <c r="H10" i="16"/>
  <c r="F21" i="3"/>
  <c r="H17" i="17"/>
  <c r="F12" i="17"/>
  <c r="H15" i="17"/>
  <c r="F21" i="17"/>
  <c r="H21" i="20"/>
  <c r="H21" i="17"/>
  <c r="H19" i="14"/>
  <c r="H13" i="20"/>
  <c r="F17" i="21"/>
  <c r="H19" i="3"/>
  <c r="F20" i="14"/>
  <c r="H17" i="14"/>
  <c r="H21" i="3"/>
  <c r="F20" i="17"/>
  <c r="F12" i="21"/>
  <c r="F21" i="21"/>
  <c r="H16" i="14"/>
  <c r="H10" i="20"/>
  <c r="F19" i="20"/>
  <c r="H16" i="17"/>
  <c r="H14" i="18"/>
  <c r="F10" i="21"/>
  <c r="F17" i="17"/>
  <c r="H20" i="21"/>
  <c r="H12" i="20"/>
  <c r="F17" i="20"/>
  <c r="F17" i="14"/>
  <c r="F12" i="20"/>
  <c r="H18" i="14"/>
  <c r="F21" i="22"/>
  <c r="F10" i="18"/>
  <c r="F15" i="19"/>
  <c r="H14" i="20"/>
  <c r="H15" i="21"/>
  <c r="F20" i="16"/>
  <c r="H12" i="19"/>
  <c r="F16" i="21"/>
  <c r="H11" i="16"/>
  <c r="F13" i="21"/>
  <c r="F11" i="21"/>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1" i="19"/>
  <c r="F19" i="24"/>
  <c r="H20" i="19"/>
  <c r="H19" i="20"/>
  <c r="F16" i="24"/>
  <c r="H16" i="18"/>
  <c r="H13" i="21"/>
  <c r="F16" i="16"/>
  <c r="H14" i="21"/>
  <c r="F20" i="18"/>
  <c r="F20" i="19"/>
  <c r="F18" i="24"/>
  <c r="F17" i="19"/>
  <c r="H19" i="18"/>
  <c r="F17" i="18"/>
  <c r="H16" i="22"/>
  <c r="H17" i="24"/>
  <c r="F16" i="20"/>
  <c r="H19" i="19"/>
  <c r="H18" i="16"/>
  <c r="H14" i="16"/>
  <c r="H15" i="16"/>
  <c r="F15" i="21"/>
  <c r="F11" i="22"/>
  <c r="F16" i="17"/>
  <c r="F18" i="19"/>
  <c r="F18" i="18"/>
  <c r="H15" i="18"/>
  <c r="H12" i="21"/>
  <c r="H10" i="21"/>
  <c r="H13" i="18"/>
  <c r="H12" i="24"/>
  <c r="F14" i="20"/>
  <c r="H21" i="22"/>
  <c r="H17" i="19"/>
  <c r="H14" i="17"/>
  <c r="F15" i="16"/>
  <c r="F11" i="18"/>
  <c r="F17" i="16"/>
  <c r="F19" i="16"/>
  <c r="F13" i="18"/>
  <c r="F10" i="16"/>
  <c r="H12" i="16"/>
  <c r="F20" i="24"/>
  <c r="H16" i="19"/>
  <c r="H10" i="19"/>
  <c r="H19" i="17"/>
  <c r="H19" i="24"/>
  <c r="F20" i="22"/>
  <c r="H20" i="16"/>
  <c r="H21" i="18"/>
  <c r="H17" i="16"/>
  <c r="F12" i="24"/>
  <c r="F19" i="18"/>
  <c r="F11" i="16"/>
  <c r="H18" i="19"/>
  <c r="F21" i="19"/>
  <c r="H11" i="22"/>
  <c r="H10" i="22"/>
  <c r="F21" i="18"/>
  <c r="H20" i="22"/>
  <c r="H11" i="19"/>
  <c r="F21" i="24"/>
  <c r="H15" i="20"/>
  <c r="F14" i="24"/>
  <c r="H15" i="24"/>
  <c r="H14" i="19"/>
  <c r="H18" i="24"/>
  <c r="H11" i="21"/>
  <c r="H16" i="21"/>
  <c r="H21" i="24"/>
  <c r="H15" i="19"/>
  <c r="F14" i="19"/>
  <c r="F13" i="16"/>
  <c r="F15" i="24"/>
  <c r="F14" i="18"/>
  <c r="H11" i="24"/>
  <c r="H10" i="18"/>
  <c r="F16" i="22"/>
  <c r="H13" i="16"/>
  <c r="H16" i="16"/>
  <c r="H18" i="18"/>
  <c r="H14" i="24"/>
  <c r="F10" i="19"/>
  <c r="H21" i="19"/>
  <c r="H12" i="18"/>
  <c r="H19" i="16"/>
  <c r="F13" i="24"/>
  <c r="F14" i="16"/>
  <c r="F18" i="16"/>
  <c r="H19" i="22"/>
  <c r="F19" i="22"/>
  <c r="F16" i="19"/>
  <c r="F15" i="17"/>
  <c r="H13" i="24"/>
  <c r="F13" i="17"/>
  <c r="H21" i="16"/>
  <c r="H20" i="18"/>
  <c r="F12" i="18"/>
  <c r="F12" i="19"/>
  <c r="H17" i="18"/>
  <c r="F16" i="18"/>
  <c r="F10" i="22"/>
  <c r="H20" i="24"/>
  <c r="F15" i="18"/>
  <c r="F11" i="24"/>
  <c r="H16" i="24"/>
  <c r="F19" i="19"/>
  <c r="F12" i="16"/>
  <c r="F10" i="24"/>
  <c r="F21" i="16"/>
  <c r="F13" i="19"/>
  <c r="D18" i="17" l="1"/>
  <c r="G18" i="17"/>
  <c r="D18" i="20"/>
  <c r="D18" i="21"/>
  <c r="H9" i="22"/>
  <c r="E9" i="22"/>
  <c r="F9" i="22"/>
  <c r="A2" i="19"/>
  <c r="A2" i="18"/>
  <c r="A2" i="24"/>
  <c r="A2" i="16"/>
  <c r="H9" i="14"/>
  <c r="F9" i="14"/>
  <c r="E9" i="14"/>
  <c r="H9" i="17"/>
  <c r="F9" i="17"/>
  <c r="E9" i="17"/>
  <c r="H9" i="20"/>
  <c r="F9" i="20"/>
  <c r="E9" i="20"/>
  <c r="H9" i="21"/>
  <c r="F9" i="21"/>
  <c r="E9" i="21"/>
  <c r="H9" i="3"/>
  <c r="F19" i="21"/>
  <c r="H16" i="20"/>
  <c r="F18" i="17"/>
  <c r="F18" i="20"/>
  <c r="F18" i="21"/>
  <c r="H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H16" i="3"/>
  <c r="F14" i="3"/>
  <c r="F13" i="3"/>
  <c r="F16" i="3"/>
  <c r="H13" i="3"/>
  <c r="H14" i="3"/>
  <c r="F12" i="3"/>
  <c r="D15" i="22" l="1"/>
  <c r="D12" i="22"/>
  <c r="H22" i="16"/>
  <c r="G15" i="3" s="1"/>
  <c r="F22" i="16"/>
  <c r="D15" i="3" s="1"/>
  <c r="H12" i="22"/>
  <c r="F15" i="22"/>
  <c r="H15" i="3"/>
  <c r="F15" i="3"/>
  <c r="F22" i="20" l="1"/>
  <c r="D11" i="3" s="1"/>
  <c r="H15" i="22"/>
  <c r="F12" i="22"/>
  <c r="F11" i="3"/>
  <c r="D14" i="22" l="1"/>
  <c r="H22" i="17"/>
  <c r="G12" i="3" s="1"/>
  <c r="F14" i="22"/>
  <c r="H12" i="3"/>
  <c r="F22" i="21" l="1"/>
  <c r="D10" i="3" s="1"/>
  <c r="H14" i="22"/>
  <c r="H14" i="14"/>
  <c r="H18" i="20"/>
  <c r="H19" i="21"/>
  <c r="F10" i="3"/>
  <c r="F14" i="14"/>
  <c r="D12" i="14" l="1"/>
  <c r="D11" i="14"/>
  <c r="D10" i="14"/>
  <c r="D13" i="22"/>
  <c r="G18" i="21"/>
  <c r="G20" i="20"/>
  <c r="F12" i="14"/>
  <c r="F13" i="22"/>
  <c r="F10" i="14"/>
  <c r="F11" i="14"/>
  <c r="H20" i="20"/>
  <c r="H18" i="21"/>
  <c r="D13" i="14" l="1"/>
  <c r="H22" i="21"/>
  <c r="G10" i="3" s="1"/>
  <c r="H22" i="20"/>
  <c r="G11" i="3" s="1"/>
  <c r="H10" i="3"/>
  <c r="H13" i="22"/>
  <c r="H11" i="3"/>
  <c r="F13" i="14"/>
  <c r="G12" i="14" l="1"/>
  <c r="G11" i="14"/>
  <c r="G10" i="14"/>
  <c r="F22" i="14"/>
  <c r="D17" i="3" s="1"/>
  <c r="H12" i="14"/>
  <c r="H10" i="14"/>
  <c r="H11" i="14"/>
  <c r="F17" i="3"/>
  <c r="G13" i="14" l="1"/>
  <c r="F22" i="3"/>
  <c r="H13" i="14"/>
  <c r="D18" i="22" l="1"/>
  <c r="D17" i="22"/>
  <c r="H22" i="14"/>
  <c r="G17" i="3" s="1"/>
  <c r="F18" i="22"/>
  <c r="F17" i="22"/>
  <c r="H17" i="3"/>
  <c r="F22" i="22" l="1"/>
  <c r="H22" i="3"/>
  <c r="H17" i="22"/>
  <c r="H18" i="22"/>
  <c r="H22"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95421F95-9570-4409-8342-7CD1C59A15B1}">
      <text>
        <r>
          <rPr>
            <sz val="9"/>
            <color indexed="81"/>
            <rFont val="Tahoma"/>
            <family val="2"/>
          </rPr>
          <t>PV Benchmark Range:     $1172 - $1461            PV+ESS Range:          $1728 - $2365</t>
        </r>
      </text>
    </comment>
    <comment ref="H22" authorId="1" shapeId="0" xr:uid="{4170DA87-C151-480B-932E-542E16DAAB74}">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86105D90-63B7-40E2-9107-B396573EBEDA}">
      <text>
        <r>
          <rPr>
            <sz val="9"/>
            <color indexed="81"/>
            <rFont val="Tahoma"/>
            <family val="2"/>
          </rPr>
          <t>Benchmark Range:     $211 - $289</t>
        </r>
      </text>
    </comment>
    <comment ref="H22" authorId="1" shapeId="0" xr:uid="{D441B958-FC25-4DC7-A743-396553A8C048}">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9E526C72-AED8-4B14-82D3-2B88C29C99FF}">
      <text>
        <r>
          <rPr>
            <sz val="9"/>
            <color indexed="81"/>
            <rFont val="Tahoma"/>
            <family val="2"/>
          </rPr>
          <t>Benchmark Range:     $35 - $104</t>
        </r>
      </text>
    </comment>
    <comment ref="H22" authorId="1" shapeId="0" xr:uid="{C24F8286-C5A9-4CE6-9364-57456A54B420}">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7CD2DDAA-4F6F-4A80-B29B-E355C98FCEA6}">
      <text>
        <r>
          <rPr>
            <sz val="9"/>
            <color indexed="81"/>
            <rFont val="Tahoma"/>
            <family val="2"/>
          </rPr>
          <t>Benchmark Range:     $148 - $272</t>
        </r>
      </text>
    </comment>
    <comment ref="H22" authorId="1" shapeId="0" xr:uid="{1DCB2B05-E8D2-40C9-81CA-9FA4385493F8}">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7FE1E6BA-6722-4DB5-BA67-959B1BF9E64C}">
      <text>
        <r>
          <rPr>
            <sz val="9"/>
            <color indexed="81"/>
            <rFont val="Tahoma"/>
            <family val="2"/>
          </rPr>
          <t>PV Benchmark Range:     $28 - $47            PV+ESS Range:          $30 - $49</t>
        </r>
      </text>
    </comment>
    <comment ref="H22" authorId="1" shapeId="0" xr:uid="{9D5D6260-AD26-475C-96C9-96D79BE0A358}">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2A48E0B-89F9-4416-ABB9-CD081F6A1BB7}">
      <text>
        <r>
          <rPr>
            <sz val="9"/>
            <color indexed="81"/>
            <rFont val="Tahoma"/>
            <family val="2"/>
          </rPr>
          <t>PV Benchmark Range:     $245 - $245            PV+ESS Range:          $245 - $245</t>
        </r>
      </text>
    </comment>
    <comment ref="H22" authorId="1" shapeId="0" xr:uid="{4A0912CB-E672-4814-9B28-C865275FED55}">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F4A1F6BF-6E81-4D9A-9B81-CCDCBE1E02F1}">
      <text>
        <r>
          <rPr>
            <sz val="9"/>
            <color indexed="81"/>
            <rFont val="Tahoma"/>
            <family val="2"/>
          </rPr>
          <t>PV Benchmark Range:     $55 - $97            PV+ESS Range:          $88 - $130</t>
        </r>
      </text>
    </comment>
    <comment ref="H22" authorId="1" shapeId="0" xr:uid="{2C36100E-EFF0-44B9-87CE-D90BFBAE740D}">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9FE40770-6E4C-436C-ACFA-E28BD19D0AD0}">
      <text>
        <r>
          <rPr>
            <sz val="9"/>
            <color indexed="81"/>
            <rFont val="Tahoma"/>
            <family val="2"/>
          </rPr>
          <t>PV Benchmark Range:     $148 - $165            PV+ESS Range:          $148 - $165</t>
        </r>
      </text>
    </comment>
    <comment ref="H22" authorId="1" shapeId="0" xr:uid="{DD00319D-A0E4-4314-BAA7-FFD198787CF0}">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5CFA6271-F848-46D5-A068-36640A68F452}">
      <text>
        <r>
          <rPr>
            <sz val="9"/>
            <color indexed="81"/>
            <rFont val="Tahoma"/>
            <family val="2"/>
          </rPr>
          <t>PV Benchmark Range:     $189 - $236            PV+ESS Range:          $276 - $381</t>
        </r>
      </text>
    </comment>
    <comment ref="H22" authorId="1" shapeId="0" xr:uid="{26EF40DF-702F-4647-93CE-5B3101F541E3}">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23F2B756-E36C-4302-8C04-C7A2EE717D3D}">
      <text>
        <r>
          <rPr>
            <sz val="9"/>
            <color indexed="81"/>
            <rFont val="Tahoma"/>
            <family val="2"/>
          </rPr>
          <t>PV Benchmark Range:     $17 - $26            PV+ESS Range:          $35 - $57</t>
        </r>
      </text>
    </comment>
    <comment ref="H22" authorId="1" shapeId="0" xr:uid="{FEFCC397-0DEF-47A5-8E16-95EE13388A2C}">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<sst xmlns="http://schemas.openxmlformats.org/spreadsheetml/2006/main" count="697" uniqueCount="320">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</sst>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233.50866151127553</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152.53788559050116</c:v>
                </c:pt>
                <c:pt idx="1">
                  <c:v>154.52152840863332</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495.74512529274</c:v>
                </c:pt>
                <c:pt idx="1">
                  <c:v>515.6496252927401</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1579.2002341920374</c:v>
                </c:pt>
                <c:pt idx="1">
                  <c:v>1586.7002341920374</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438.90848813338539</c:v>
                </c:pt>
                <c:pt idx="1">
                  <c:v>468.60692141889143</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1.5253788559050117</c:v>
                </c:pt>
                <c:pt idx="1">
                  <c:v>1.5253788559050117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0.23350866151127553</c:v>
                </c:pt>
                <c:pt idx="1">
                  <c:v>0.23350866151127553</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6.2584867164471785</c:v>
                </c:pt>
                <c:pt idx="1">
                  <c:v>6.2584867164471785</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7.8231083955589726</c:v>
                </c:pt>
                <c:pt idx="1">
                  <c:v>7.8231083955589726</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103.66865729898512</c:v>
                </c:pt>
                <c:pt idx="1">
                  <c:v>103.66865729898512</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85.4</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233.50866151127553</v>
      </c>
      <c r="E10" s="30">
        <v>1</v>
      </c>
      <c r="F10" s="7">
        <f t="shared" ref="F10:F21" si="0">E10*D10*includerow(I10,IncludeESS,IncludeIndirect)</f>
        <v>233.50866151127553</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30.507577118100233</v>
      </c>
      <c r="E13" s="30">
        <f>1/ModuleEfficiency</f>
        <v>5</v>
      </c>
      <c r="F13" s="7">
        <f t="shared" si="0"/>
        <v>152.53788559050116</v>
      </c>
      <c r="G13" s="49">
        <f>SBOSMMP</f>
        <v>30.904305681726665</v>
      </c>
      <c r="H13" s="7">
        <f t="shared" si="1"/>
        <v>154.52152840863332</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99.149025058548006</v>
      </c>
      <c r="E15" s="30">
        <f>1/ModuleEfficiency</f>
        <v>5</v>
      </c>
      <c r="F15" s="7">
        <f t="shared" si="0"/>
        <v>495.74512529274</v>
      </c>
      <c r="G15" s="49">
        <f>FieldworkMMP</f>
        <v>103.12992505854801</v>
      </c>
      <c r="H15" s="7">
        <f t="shared" si="1"/>
        <v>515.6496252927401</v>
      </c>
      <c r="I15" s="37"/>
      <c r="J15" s="2"/>
      <c r="K15"/>
      <c r="L15"/>
      <c r="M15"/>
      <c r="N15"/>
      <c r="O15"/>
      <c r="P15"/>
      <c r="Q15"/>
      <c r="R15"/>
      <c r="S15"/>
      <c r="T15"/>
    </row>
    <row r="16" spans="1:20" ht="18" customHeight="1">
      <c r="A16" s="13" t="s">
        <v>41</v>
      </c>
      <c r="B16" s="34" t="s">
        <v>82</v>
      </c>
      <c r="C16" s="24" t="str">
        <f>OfficeworkUnit</f>
        <v>kWdc</v>
      </c>
      <c r="D16" s="49">
        <f>OfficeworkMSP</f>
        <v>1579.2002341920374</v>
      </c>
      <c r="E16" s="30">
        <v>1</v>
      </c>
      <c r="F16" s="7">
        <f t="shared" si="0"/>
        <v>1579.2002341920374</v>
      </c>
      <c r="G16" s="49">
        <f>OfficeworkMMP</f>
        <v>1586.7002341920374</v>
      </c>
      <c r="H16" s="7">
        <f t="shared" si="1"/>
        <v>1586.7002341920374</v>
      </c>
      <c r="I16" s="37" t="s">
        <v>83</v>
      </c>
      <c r="J16" s="2"/>
      <c r="K16"/>
      <c r="L16"/>
      <c r="M16"/>
      <c r="N16"/>
      <c r="O16"/>
      <c r="P16"/>
      <c r="Q16"/>
      <c r="R16"/>
      <c r="S16"/>
      <c r="T16"/>
    </row>
    <row r="17" spans="1:20" ht="18" customHeight="1">
      <c r="A17" s="13" t="s">
        <v>11</v>
      </c>
      <c r="B17" s="65" t="s">
        <v>84</v>
      </c>
      <c r="C17" s="24" t="str">
        <f>OtherUnit</f>
        <v>kWdc</v>
      </c>
      <c r="D17" s="49">
        <f>OtherMSP</f>
        <v>438.90848813338539</v>
      </c>
      <c r="E17" s="30">
        <v>1</v>
      </c>
      <c r="F17" s="7">
        <f t="shared" si="0"/>
        <v>438.90848813338539</v>
      </c>
      <c r="G17" s="49">
        <f>OtherMMP</f>
        <v>468.60692141889143</v>
      </c>
      <c r="H17" s="7">
        <f t="shared" si="1"/>
        <v>468.60692141889143</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3129.243358223589</v>
      </c>
      <c r="G22" s="15" t="s">
        <v>61</v>
      </c>
      <c r="H22" s="8">
        <f>SUM(H10:H21)</f>
        <v>3310.3834188013534</v>
      </c>
      <c r="I22"/>
      <c r="J22"/>
    </row>
  </sheetData>
  <sheetProtection algorithmName="SHA-512" hashValue="4W8BuTHi174Gc5f0z6qz5G6CK6m1pQdks6n5TEkmHspIXDWFukMG6fTbFM0ryrMBaErRb3l2XMqITGaRlB0Jaw==" saltValue="jihbLs7WRFsK0hApl9UWcw=="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8.6666246551555126</v>
      </c>
      <c r="F11" s="7">
        <f t="shared" si="0"/>
        <v>12.999936982733269</v>
      </c>
      <c r="G11" s="10"/>
      <c r="H11" s="12">
        <f t="shared" si="1"/>
        <v>12.999936982733269</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0.87523981570950427</v>
      </c>
      <c r="F13" s="7">
        <f t="shared" si="0"/>
        <v>5.5140108389698765</v>
      </c>
      <c r="G13" s="10"/>
      <c r="H13" s="12">
        <f t="shared" si="1"/>
        <v>5.5140108389698765</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13.699108247395502</v>
      </c>
      <c r="E18" s="30">
        <v>1</v>
      </c>
      <c r="F18" s="7">
        <f t="shared" si="0"/>
        <v>13.699108247395502</v>
      </c>
      <c r="G18" s="75">
        <f>ModuleMarketPrice-SUM(H10:H17,H19:H21)</f>
        <v>100.8843242871404</v>
      </c>
      <c r="H18" s="12">
        <f t="shared" si="1"/>
        <v>100.8843242871404</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233.50866151127553</v>
      </c>
      <c r="G22" s="15" t="s">
        <v>61</v>
      </c>
      <c r="H22" s="8">
        <f>SUM(H10:H21)</f>
        <v>336</v>
      </c>
      <c r="I22"/>
      <c r="J22"/>
    </row>
    <row r="23" spans="1:10">
      <c r="F23" s="11"/>
    </row>
  </sheetData>
  <sheetProtection algorithmName="SHA-512" hashValue="+Q04Wth5taFUGNM87mSBRjxvP61pXPBFFzmceAdgCjPIPAr+pBVmTTyBPFcSOYXrVU7j1oPlR9X3mUwe30A0cQ==" saltValue="AwMR46pTV3FvPpyYo+CrkA=="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vg1UvLPjnXxK8FTWW+uft0wF4jhsK0CaQdBgexxwlJVzQUDHf2jFXnNbKha/TeDhCcQgdRrjUDOZRGAKfnIm/g==" saltValue="FJ5rEdhD4EWPKATRkb7TvQ=="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stP4mPJWgVI5tTKYSSys5xzwBS4WcieJ+QkndmjQFwPMDUJm5GJ9t6jdiIH5zUb0UypzU0sHlTu2tsvri5sVwA==" saltValue="6O1oiZqpSxHaHYyHBOJOqg=="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427</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4.0853314317972483E-2</v>
      </c>
      <c r="F11" s="7">
        <f t="shared" si="0"/>
        <v>8.1706628635944973</v>
      </c>
      <c r="G11" s="5"/>
      <c r="H11" s="12">
        <f t="shared" si="1"/>
        <v>8.1706628635944973</v>
      </c>
      <c r="I11" s="61"/>
      <c r="J11" s="2" t="s">
        <v>137</v>
      </c>
    </row>
    <row r="12" spans="1:15" ht="18" customHeight="1">
      <c r="A12" s="13" t="s">
        <v>138</v>
      </c>
      <c r="B12" s="6"/>
      <c r="C12" s="28" t="s">
        <v>89</v>
      </c>
      <c r="D12" s="4">
        <v>2.1</v>
      </c>
      <c r="E12" s="30">
        <f>1/ModuleWidth</f>
        <v>0.54614964500273078</v>
      </c>
      <c r="F12" s="7">
        <f t="shared" si="0"/>
        <v>1.1469142545057347</v>
      </c>
      <c r="G12" s="67">
        <f>D12*(1+Tariff301)</f>
        <v>2.625</v>
      </c>
      <c r="H12" s="12">
        <f t="shared" si="1"/>
        <v>1.4336428181321683</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30.507577118100233</v>
      </c>
      <c r="G22" s="15" t="s">
        <v>61</v>
      </c>
      <c r="H22" s="8">
        <f>SUM(H10:H21)</f>
        <v>30.904305681726665</v>
      </c>
      <c r="I22"/>
      <c r="J22"/>
    </row>
    <row r="23" spans="1:10">
      <c r="F23" s="11"/>
    </row>
  </sheetData>
  <sheetProtection algorithmName="SHA-512" hashValue="RyBUw2+dF2Hi8zhGYWfI3SnuOU/UpB1AqInJSmTl1UAZCL1dzcY5Qy0zdaYbFpRT7O+TlL8Fvt8f8o12PL1y2Q==" saltValue="ojN5PeHGoNNv1ecgB4ephg=="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62.335766423357661</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buwIBmHXihPCh0mBL059+2AgJRTbF0Ybi1dqOTT0EFvSmLgZr+X2kwe5Zwcpl7oGlNQCkv37mabnzhTCXB3BPw==" saltValue="8VRomU55hPUYhxXeVdvEKQ=="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427</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16.196721311475407</v>
      </c>
      <c r="G13" s="5"/>
      <c r="H13" s="12">
        <f t="shared" si="1"/>
        <v>16.196721311475407</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23.419203747072601</v>
      </c>
      <c r="G15" s="4"/>
      <c r="H15" s="12">
        <f t="shared" si="1"/>
        <v>23.419203747072601</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99.149025058548006</v>
      </c>
      <c r="G22" s="15" t="s">
        <v>61</v>
      </c>
      <c r="H22" s="8">
        <f>SUM(H10:H21)</f>
        <v>103.12992505854801</v>
      </c>
      <c r="I22"/>
      <c r="J22"/>
    </row>
    <row r="23" spans="1:10">
      <c r="F23" s="11"/>
    </row>
  </sheetData>
  <sheetProtection algorithmName="SHA-512" hashValue="9M++nNaPPwjvCk0gtTDLyj5RSlVzganPcYLhuJ/NBrs7SrtSRSOM38QQV/I/PERmVkFjs0Ua/UUDv/H9TQqwSw==" saltValue="arvVWCtlmLxayDbDrON4vw=="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85.4</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844.67213114754088</v>
      </c>
      <c r="G12" s="5"/>
      <c r="H12" s="12">
        <f t="shared" si="1"/>
        <v>844.67213114754088</v>
      </c>
      <c r="I12" s="37"/>
      <c r="J12" s="2" t="s">
        <v>302</v>
      </c>
    </row>
    <row r="13" spans="1:15" ht="18" customHeight="1">
      <c r="A13" s="13" t="s">
        <v>163</v>
      </c>
      <c r="B13" s="6">
        <v>25000</v>
      </c>
      <c r="C13" s="28"/>
      <c r="D13" s="4"/>
      <c r="E13" s="30"/>
      <c r="F13" s="7">
        <f t="shared" si="0"/>
        <v>292.74004683840747</v>
      </c>
      <c r="G13" s="5"/>
      <c r="H13" s="12">
        <f t="shared" si="1"/>
        <v>292.74004683840747</v>
      </c>
      <c r="I13" s="37"/>
      <c r="J13" s="2" t="s">
        <v>164</v>
      </c>
    </row>
    <row r="14" spans="1:15" ht="18" customHeight="1">
      <c r="A14" s="13" t="s">
        <v>303</v>
      </c>
      <c r="B14" s="6">
        <v>30000</v>
      </c>
      <c r="C14" s="28" t="s">
        <v>22</v>
      </c>
      <c r="D14" s="4">
        <v>60</v>
      </c>
      <c r="E14" s="30">
        <v>1</v>
      </c>
      <c r="F14" s="7">
        <f t="shared" si="0"/>
        <v>411.28805620608898</v>
      </c>
      <c r="G14" s="5"/>
      <c r="H14" s="12">
        <f t="shared" si="1"/>
        <v>411.28805620608898</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1579.2002341920374</v>
      </c>
      <c r="G22" s="15" t="s">
        <v>61</v>
      </c>
      <c r="H22" s="8">
        <f>SUM(H10:H21)</f>
        <v>1586.7002341920374</v>
      </c>
      <c r="I22"/>
      <c r="J22"/>
    </row>
    <row r="23" spans="1:10">
      <c r="F23" s="11"/>
    </row>
  </sheetData>
  <sheetProtection algorithmName="SHA-512" hashValue="nan73xb6fNPbPFH0GY3AGTHC+loFKBgO8JRPCOQeHtgzMrMclTUXcaB8XF3oY5RIwKHocC9lbQgV6+/L/RLoZg==" saltValue="MbihLRDqfXSo1YdUyggDV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35.692591615114722</v>
      </c>
      <c r="E10" s="30">
        <v>1</v>
      </c>
      <c r="F10" s="7">
        <f t="shared" ref="F10:F21" si="0">($B10/$A$3+$E10*$D10)*includerow($I10,IncludeESS,IncludeIndirect)</f>
        <v>35.692591615114722</v>
      </c>
      <c r="G10" s="67">
        <f>B10/$A$3+(SysModuleMMP+SysInverterMMP+SysESSMMP+SysSBOSMMP+SysEBOSMMP)*SalesTaxRate</f>
        <v>42.886744998065701</v>
      </c>
      <c r="H10" s="12">
        <f t="shared" ref="H10:H21" si="1">IF($G10&lt;&gt;0,$G10*$E10*includerow($I10,IncludeESS,IncludeIndirect),($B10/$A$3+$D10*$E10)*includerow($I10,IncludeESS,IncludeIndirect))</f>
        <v>42.886744998065701</v>
      </c>
      <c r="I10" s="37"/>
      <c r="J10" s="2" t="s">
        <v>167</v>
      </c>
    </row>
    <row r="11" spans="1:15" ht="18" customHeight="1">
      <c r="A11" s="13" t="s">
        <v>168</v>
      </c>
      <c r="B11" s="6"/>
      <c r="C11" s="28" t="s">
        <v>22</v>
      </c>
      <c r="D11" s="66">
        <f>(SysModuleMSP+SysInverterMSP+SysESSMSP+SysSBOSMSP+SysEBOSMSP+SysFieldworkMSP+SysOfficeworkMSP)*ContingencyRate</f>
        <v>134.5167435045102</v>
      </c>
      <c r="E11" s="30">
        <v>1</v>
      </c>
      <c r="F11" s="7">
        <f t="shared" si="0"/>
        <v>134.5167435045102</v>
      </c>
      <c r="G11" s="67">
        <f>B11/$A$3+(SysModuleMMP+SysInverterMMP+SysESSMMP+SysSBOSMMP+SysEBOSMMP+SysFieldworkMMP+SysOfficeworkMMP)*ContingencyRate</f>
        <v>142.0888248691231</v>
      </c>
      <c r="H11" s="12">
        <f t="shared" si="1"/>
        <v>142.0888248691231</v>
      </c>
      <c r="I11" s="37"/>
      <c r="J11" s="2" t="s">
        <v>169</v>
      </c>
    </row>
    <row r="12" spans="1:15" ht="18" customHeight="1">
      <c r="A12" s="13" t="s">
        <v>170</v>
      </c>
      <c r="B12" s="6">
        <v>1000000</v>
      </c>
      <c r="C12" s="28" t="s">
        <v>22</v>
      </c>
      <c r="D12" s="66">
        <f>(SysModuleMSP+SysInverterMSP+SysESSMSP+SysSBOSMSP+SysEBOSMSP+SysFieldworkMSP+SysOfficeworkMSP)*OverheadRate</f>
        <v>26.90334870090204</v>
      </c>
      <c r="E12" s="30">
        <v>1</v>
      </c>
      <c r="F12" s="7">
        <f t="shared" si="0"/>
        <v>36.903348700902043</v>
      </c>
      <c r="G12" s="67">
        <f>B12/$A$3+(SysModuleMMP+SysInverterMMP+SysESSMMP+SysSBOSMMP+SysEBOSMMP+SysFieldworkMMP+SysOfficeworkMMP)*OverheadRate</f>
        <v>38.417764973824617</v>
      </c>
      <c r="H12" s="12">
        <f t="shared" si="1"/>
        <v>38.417764973824617</v>
      </c>
      <c r="I12" s="37"/>
      <c r="J12" s="2" t="s">
        <v>171</v>
      </c>
    </row>
    <row r="13" spans="1:15" ht="18" customHeight="1">
      <c r="A13" s="13" t="s">
        <v>107</v>
      </c>
      <c r="B13" s="6"/>
      <c r="C13" s="28" t="s">
        <v>22</v>
      </c>
      <c r="D13" s="66">
        <f>( SysModuleMSP+ SysInverterMSP+ SysESSMSP+ SysSBOSMSP+ SysEBOSMSP+ SysFieldworkMSP+ SysOfficeworkMSP+SUM(F10:F12))* DeveloperProfitMSP</f>
        <v>231.79580431285845</v>
      </c>
      <c r="E13" s="30">
        <v>1</v>
      </c>
      <c r="F13" s="7">
        <f t="shared" si="0"/>
        <v>231.79580431285845</v>
      </c>
      <c r="G13" s="67">
        <f>B13/$A$3+(SysModuleMMP+SysInverterMMP+SysESSMMP+SysSBOSMMP+SysEBOSMMP+SysFieldworkMMP+SysOfficeworkMMP+SUM(H10:H12))*DeveloperProfitMMP</f>
        <v>245.213586577878</v>
      </c>
      <c r="H13" s="12">
        <f t="shared" si="1"/>
        <v>245.213586577878</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438.90848813338539</v>
      </c>
      <c r="G22" s="15" t="s">
        <v>61</v>
      </c>
      <c r="H22" s="8">
        <f>SUM(H10:H21)</f>
        <v>468.60692141889143</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Qe3rwsQzmEqFyWKPUEzMVelNVCC6huaeohyQytweE5MzBPPCJDXXi/Upw41CpgRL1IAFjZ7ePdTfaSb2qcvt6w==" saltValue="DBmgSw84YpAdJeTGYnY+hg=="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85.4</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152.53788559050116</v>
      </c>
      <c r="E12" s="30">
        <f>PartsLossRate/ModuleEfficiency</f>
        <v>0.01</v>
      </c>
      <c r="F12" s="7">
        <f t="shared" si="0"/>
        <v>1.5253788559050117</v>
      </c>
      <c r="G12" s="5"/>
      <c r="H12" s="12">
        <f t="shared" si="1"/>
        <v>1.5253788559050117</v>
      </c>
      <c r="I12" s="37"/>
      <c r="J12" s="2" t="s">
        <v>178</v>
      </c>
    </row>
    <row r="13" spans="1:15" ht="18" customHeight="1">
      <c r="A13" s="13" t="s">
        <v>179</v>
      </c>
      <c r="B13" s="6"/>
      <c r="C13" s="28" t="s">
        <v>22</v>
      </c>
      <c r="D13" s="66">
        <f>SysModuleMSP</f>
        <v>233.50866151127553</v>
      </c>
      <c r="E13" s="30">
        <f>ModuleLossRate</f>
        <v>1E-3</v>
      </c>
      <c r="F13" s="7">
        <f t="shared" si="0"/>
        <v>0.23350866151127553</v>
      </c>
      <c r="G13" s="5"/>
      <c r="H13" s="12">
        <f t="shared" si="1"/>
        <v>0.23350866151127553</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6.2584867164471785</v>
      </c>
      <c r="E17" s="30">
        <f>IncludeIndirect*1</f>
        <v>1</v>
      </c>
      <c r="F17" s="7">
        <f t="shared" si="0"/>
        <v>6.2584867164471785</v>
      </c>
      <c r="G17" s="4"/>
      <c r="H17" s="12">
        <f t="shared" si="1"/>
        <v>6.2584867164471785</v>
      </c>
      <c r="I17" s="37" t="s">
        <v>83</v>
      </c>
      <c r="J17" s="2" t="s">
        <v>189</v>
      </c>
    </row>
    <row r="18" spans="1:10" ht="18" customHeight="1">
      <c r="A18" s="13" t="s">
        <v>190</v>
      </c>
      <c r="B18" s="6"/>
      <c r="C18" s="29" t="s">
        <v>188</v>
      </c>
      <c r="D18" s="66">
        <f>SystemMSP*InsuranceRate</f>
        <v>7.8231083955589726</v>
      </c>
      <c r="E18" s="30">
        <f>IncludeIndirect*1</f>
        <v>1</v>
      </c>
      <c r="F18" s="7">
        <f t="shared" si="0"/>
        <v>7.8231083955589726</v>
      </c>
      <c r="G18" s="4"/>
      <c r="H18" s="12">
        <f t="shared" si="1"/>
        <v>7.8231083955589726</v>
      </c>
      <c r="I18" s="37" t="s">
        <v>83</v>
      </c>
      <c r="J18" s="2" t="s">
        <v>305</v>
      </c>
    </row>
    <row r="19" spans="1:10" ht="18" customHeight="1">
      <c r="A19" s="13" t="s">
        <v>170</v>
      </c>
      <c r="B19" s="6">
        <v>8853.3033333333296</v>
      </c>
      <c r="C19" s="29"/>
      <c r="D19" s="4"/>
      <c r="E19" s="30"/>
      <c r="F19" s="7">
        <f t="shared" si="0"/>
        <v>103.66865729898512</v>
      </c>
      <c r="G19" s="4"/>
      <c r="H19" s="12">
        <f t="shared" si="1"/>
        <v>103.66865729898512</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130.73519561242554</v>
      </c>
      <c r="G22" s="15" t="s">
        <v>61</v>
      </c>
      <c r="H22" s="8">
        <f>SUM(H10:H21)</f>
        <v>130.73519561242554</v>
      </c>
      <c r="I22"/>
      <c r="J22"/>
    </row>
    <row r="23" spans="1:10">
      <c r="F23" s="11"/>
    </row>
  </sheetData>
  <sheetProtection algorithmName="SHA-512" hashValue="d4uunLlh/ygvCtvMpTdpW/HNCQwQ0sQDs9pvSC70ONAKUVcJrf3b+DY24KJrgvDmBJ2tc1mScni4mjjKML35Hg==" saltValue="xybkOreVx7s453UJEnTvgw=="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3.12</v>
      </c>
      <c r="D10" s="37" t="s">
        <v>89</v>
      </c>
      <c r="E10" s="59" t="str">
        <f t="shared" si="0"/>
        <v>/</v>
      </c>
      <c r="F10" s="37"/>
      <c r="G10" s="58"/>
      <c r="H10" s="2"/>
    </row>
    <row r="11" spans="1:8">
      <c r="A11" s="13" t="s">
        <v>1</v>
      </c>
      <c r="B11" s="13" t="s">
        <v>203</v>
      </c>
      <c r="C11" s="2">
        <v>1.831</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FPo22kO+xU8CKMWCdqAJ7P5/aiW4B79C5pAQ/ZSVhOvGcftr1F36H+C3TEXG3rEbjG3E1Wq59iq+5tfx96Glrg==" saltValue="PAF+yVTSxFNVT6DWqqfrmQ=="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2026-04-07T23:28:18Z</dcterms:modified>
</cp:coreProperties>
</file>