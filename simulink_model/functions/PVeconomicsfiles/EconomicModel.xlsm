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A891ECC3-E785-498C-8409-BF38859B3893}"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F21" i="22" s="1"/>
  <c r="E12" i="24"/>
  <c r="E11" i="24"/>
  <c r="E10" i="24"/>
  <c r="H10" i="24" s="1"/>
  <c r="B3" i="24"/>
  <c r="C16" i="3" s="1"/>
  <c r="A3" i="24"/>
  <c r="F17" i="24" s="1"/>
  <c r="E14" i="16"/>
  <c r="E13" i="16"/>
  <c r="E12" i="16"/>
  <c r="E11" i="16"/>
  <c r="H11" i="16" s="1"/>
  <c r="E10" i="16"/>
  <c r="H10" i="16" s="1"/>
  <c r="A3" i="16"/>
  <c r="F20" i="16" s="1"/>
  <c r="E16" i="18"/>
  <c r="E15" i="18"/>
  <c r="G14" i="18"/>
  <c r="H14" i="18" s="1"/>
  <c r="G11" i="18"/>
  <c r="H11" i="18" s="1"/>
  <c r="A3" i="18"/>
  <c r="F10" i="18" s="1"/>
  <c r="E15" i="19"/>
  <c r="F15" i="19" s="1"/>
  <c r="E14" i="19"/>
  <c r="G13" i="19"/>
  <c r="H13" i="19" s="1"/>
  <c r="E13" i="19"/>
  <c r="G12" i="19"/>
  <c r="H12" i="19" s="1"/>
  <c r="E12" i="19"/>
  <c r="E11" i="19"/>
  <c r="E10" i="19"/>
  <c r="A3" i="19"/>
  <c r="G20" i="17"/>
  <c r="E19" i="17"/>
  <c r="E16" i="17"/>
  <c r="E15" i="17"/>
  <c r="E14" i="17"/>
  <c r="E13" i="17"/>
  <c r="G10" i="17"/>
  <c r="E19" i="20"/>
  <c r="E16" i="20"/>
  <c r="E15" i="20"/>
  <c r="E14" i="20"/>
  <c r="E19" i="21"/>
  <c r="E16" i="21"/>
  <c r="E15" i="21"/>
  <c r="E14" i="21"/>
  <c r="E13" i="21"/>
  <c r="F13" i="21" s="1"/>
  <c r="E12" i="21"/>
  <c r="F12" i="21" s="1"/>
  <c r="E11" i="21"/>
  <c r="F11" i="21" s="1"/>
  <c r="E10" i="21"/>
  <c r="C17" i="3"/>
  <c r="E15" i="3"/>
  <c r="C15" i="3"/>
  <c r="E14" i="3"/>
  <c r="C14" i="3"/>
  <c r="E13" i="3"/>
  <c r="C13" i="3"/>
  <c r="E12" i="3"/>
  <c r="C12" i="3"/>
  <c r="E11" i="3"/>
  <c r="C11" i="3"/>
  <c r="C10" i="3"/>
  <c r="F15" i="20"/>
  <c r="H14" i="20"/>
  <c r="F10" i="21"/>
  <c r="F19" i="17"/>
  <c r="H13" i="17"/>
  <c r="H10" i="17"/>
  <c r="F19" i="20"/>
  <c r="F16" i="21"/>
  <c r="H15" i="21"/>
  <c r="F14" i="21"/>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0" i="17"/>
  <c r="F18" i="14"/>
  <c r="F17" i="21"/>
  <c r="H21" i="3"/>
  <c r="F20" i="21"/>
  <c r="F13" i="20"/>
  <c r="F21" i="17"/>
  <c r="F12" i="17"/>
  <c r="F15" i="14"/>
  <c r="H15" i="14"/>
  <c r="F16" i="14"/>
  <c r="H17" i="21"/>
  <c r="H18" i="3"/>
  <c r="H12" i="17"/>
  <c r="H17" i="14"/>
  <c r="H19" i="14"/>
  <c r="F17" i="14"/>
  <c r="F21" i="14"/>
  <c r="H17" i="20"/>
  <c r="H20" i="21"/>
  <c r="H11" i="20"/>
  <c r="F20" i="20"/>
  <c r="H20" i="14"/>
  <c r="F21" i="20"/>
  <c r="H16" i="14"/>
  <c r="H21" i="21"/>
  <c r="H10" i="20"/>
  <c r="F17" i="17"/>
  <c r="F11" i="17"/>
  <c r="H11" i="17"/>
  <c r="F20" i="17"/>
  <c r="F19" i="14"/>
  <c r="H12" i="20"/>
  <c r="H20" i="3"/>
  <c r="F11" i="20"/>
  <c r="F21" i="3"/>
  <c r="H21" i="14"/>
  <c r="H21" i="20"/>
  <c r="F20" i="3"/>
  <c r="H17" i="17"/>
  <c r="H19" i="3"/>
  <c r="F10" i="20"/>
  <c r="F17" i="20"/>
  <c r="H13" i="20"/>
  <c r="H21" i="17"/>
  <c r="F19" i="3"/>
  <c r="F21" i="21"/>
  <c r="F12" i="20"/>
  <c r="F20" i="14"/>
  <c r="F14" i="17"/>
  <c r="H20" i="17"/>
  <c r="H16" i="17"/>
  <c r="H15" i="17"/>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D18" i="21" s="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G18" i="17" s="1"/>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D18" i="17" l="1"/>
  <c r="D18" i="20"/>
  <c r="H9" i="22"/>
  <c r="E9" i="22"/>
  <c r="F9" i="22"/>
  <c r="A2" i="19"/>
  <c r="A2" i="18"/>
  <c r="A2" i="24"/>
  <c r="A2" i="16"/>
  <c r="H9" i="14"/>
  <c r="F9" i="14"/>
  <c r="E9" i="14"/>
  <c r="H9" i="17"/>
  <c r="F9" i="17"/>
  <c r="E9" i="17"/>
  <c r="H9" i="20"/>
  <c r="F9" i="20"/>
  <c r="E9" i="20"/>
  <c r="H9" i="21"/>
  <c r="F9" i="21"/>
  <c r="E9" i="21"/>
  <c r="H9" i="3"/>
  <c r="H16" i="20"/>
  <c r="F18" i="21"/>
  <c r="F19" i="21"/>
  <c r="H18" i="17"/>
  <c r="F18" i="20"/>
  <c r="F18" i="17"/>
  <c r="G18" i="20" l="1"/>
  <c r="E9" i="24"/>
  <c r="H9" i="19"/>
  <c r="F9" i="3"/>
  <c r="E9" i="3"/>
  <c r="E9" i="18"/>
  <c r="F9" i="18"/>
  <c r="H9" i="18"/>
  <c r="H9" i="24"/>
  <c r="F9" i="24"/>
  <c r="E9" i="16"/>
  <c r="F9" i="16"/>
  <c r="H9" i="16"/>
  <c r="F22" i="17" l="1"/>
  <c r="D12" i="3" s="1"/>
  <c r="F12" i="3" s="1"/>
  <c r="D15" i="22" s="1"/>
  <c r="F9" i="19"/>
  <c r="E9" i="19"/>
  <c r="F22" i="19"/>
  <c r="D13" i="3" s="1"/>
  <c r="F13" i="3" s="1"/>
  <c r="D12" i="22" s="1"/>
  <c r="H22" i="24"/>
  <c r="G16" i="3" s="1"/>
  <c r="H16" i="3" s="1"/>
  <c r="F22" i="24"/>
  <c r="D16" i="3" s="1"/>
  <c r="F16" i="3" s="1"/>
  <c r="F22" i="18"/>
  <c r="D14" i="3" s="1"/>
  <c r="F14" i="3" s="1"/>
  <c r="H22" i="19"/>
  <c r="G13" i="3" s="1"/>
  <c r="H13" i="3" s="1"/>
  <c r="H22" i="18"/>
  <c r="G14" i="3" s="1"/>
  <c r="H14" i="3" s="1"/>
  <c r="H22" i="16" l="1"/>
  <c r="G15" i="3" s="1"/>
  <c r="H15" i="3" s="1"/>
  <c r="F22" i="16"/>
  <c r="D15" i="3" s="1"/>
  <c r="F15" i="3" s="1"/>
  <c r="H12" i="22"/>
  <c r="F15" i="22"/>
  <c r="F22" i="20" l="1"/>
  <c r="D11" i="3" s="1"/>
  <c r="F11" i="3" s="1"/>
  <c r="D14" i="22" s="1"/>
  <c r="H15" i="22"/>
  <c r="F12" i="22"/>
  <c r="H22" i="17" l="1"/>
  <c r="G12" i="3" s="1"/>
  <c r="H12" i="3" s="1"/>
  <c r="F14" i="22"/>
  <c r="F22" i="21" l="1"/>
  <c r="D10" i="3" s="1"/>
  <c r="F10" i="3" s="1"/>
  <c r="H14" i="14"/>
  <c r="H19" i="21"/>
  <c r="G18" i="21" s="1"/>
  <c r="H14" i="22"/>
  <c r="H18" i="20"/>
  <c r="G20" i="20" s="1"/>
  <c r="F14" i="14"/>
  <c r="D11" i="14" l="1"/>
  <c r="D10" i="14"/>
  <c r="D12" i="14"/>
  <c r="D13" i="22"/>
  <c r="F11" i="14"/>
  <c r="F12" i="14"/>
  <c r="F10" i="14"/>
  <c r="H13" i="22"/>
  <c r="H20" i="20"/>
  <c r="H18" i="21"/>
  <c r="D13" i="14" l="1"/>
  <c r="F13" i="14"/>
  <c r="H22" i="21"/>
  <c r="G10" i="3" s="1"/>
  <c r="H10" i="3" s="1"/>
  <c r="H22" i="20"/>
  <c r="G11" i="3" s="1"/>
  <c r="H11" i="3" s="1"/>
  <c r="F13" i="22"/>
  <c r="G12" i="14" l="1"/>
  <c r="G10" i="14"/>
  <c r="G11" i="14"/>
  <c r="H11" i="14"/>
  <c r="H12" i="14"/>
  <c r="H10" i="14"/>
  <c r="F22" i="14"/>
  <c r="D17" i="3" s="1"/>
  <c r="F17" i="3" s="1"/>
  <c r="G13" i="14" l="1"/>
  <c r="H13" i="14"/>
  <c r="F22" i="3"/>
  <c r="D18" i="22" l="1"/>
  <c r="D17" i="22"/>
  <c r="F17" i="22"/>
  <c r="H22" i="14"/>
  <c r="G17" i="3" s="1"/>
  <c r="H17" i="3" s="1"/>
  <c r="H18" i="22"/>
  <c r="H22" i="3" l="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86D6F888-2D21-4457-A22F-3020F809B4E5}">
      <text>
        <r>
          <rPr>
            <sz val="9"/>
            <color indexed="81"/>
            <rFont val="Tahoma"/>
            <family val="2"/>
          </rPr>
          <t>PV Benchmark Range:     $1172 - $1461            PV+ESS Range:          $1728 - $2365</t>
        </r>
      </text>
    </comment>
    <comment ref="H22" authorId="1" shapeId="0" xr:uid="{BF5EC19F-7EBB-421D-8287-8D1B5B6C930E}">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6A023CB8-759D-4EFA-AE38-1C1A226E0D04}">
      <text>
        <r>
          <rPr>
            <sz val="9"/>
            <color indexed="81"/>
            <rFont val="Tahoma"/>
            <family val="2"/>
          </rPr>
          <t>Benchmark Range:     $211 - $289</t>
        </r>
      </text>
    </comment>
    <comment ref="H22" authorId="1" shapeId="0" xr:uid="{671E7BF1-8A2C-4862-A3A6-114ED7C5C84D}">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02F143B-AC9A-446C-B743-6ACDB3BA4489}">
      <text>
        <r>
          <rPr>
            <sz val="9"/>
            <color indexed="81"/>
            <rFont val="Tahoma"/>
            <family val="2"/>
          </rPr>
          <t>Benchmark Range:     $35 - $104</t>
        </r>
      </text>
    </comment>
    <comment ref="H22" authorId="1" shapeId="0" xr:uid="{B2B4C74F-294B-4428-852A-096D4E57C6DC}">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DABB9B8-7D6D-4DCD-939D-9BA367E7DBDF}">
      <text>
        <r>
          <rPr>
            <sz val="9"/>
            <color indexed="81"/>
            <rFont val="Tahoma"/>
            <family val="2"/>
          </rPr>
          <t>Benchmark Range:     $148 - $272</t>
        </r>
      </text>
    </comment>
    <comment ref="H22" authorId="1" shapeId="0" xr:uid="{C0C0C40F-BA1F-4CDC-94B1-A8810C9BBCBC}">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6DCE6C8-CEDC-49ED-851C-D37E330898C0}">
      <text>
        <r>
          <rPr>
            <sz val="9"/>
            <color indexed="81"/>
            <rFont val="Tahoma"/>
            <family val="2"/>
          </rPr>
          <t>PV Benchmark Range:     $28 - $47            PV+ESS Range:          $30 - $49</t>
        </r>
      </text>
    </comment>
    <comment ref="H22" authorId="1" shapeId="0" xr:uid="{7D70D067-1B0A-4989-9BA2-459CEA8D36E0}">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ED84F5A-194B-4C28-80FF-1628AB62342E}">
      <text>
        <r>
          <rPr>
            <sz val="9"/>
            <color indexed="81"/>
            <rFont val="Tahoma"/>
            <family val="2"/>
          </rPr>
          <t>PV Benchmark Range:     $245 - $245            PV+ESS Range:          $245 - $245</t>
        </r>
      </text>
    </comment>
    <comment ref="H22" authorId="1" shapeId="0" xr:uid="{3B86BAF7-2FB8-4F8E-8BBE-6E8397EEA5D2}">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5BB8B308-090B-4B00-8C4F-6FFF6557595B}">
      <text>
        <r>
          <rPr>
            <sz val="9"/>
            <color indexed="81"/>
            <rFont val="Tahoma"/>
            <family val="2"/>
          </rPr>
          <t>PV Benchmark Range:     $55 - $97            PV+ESS Range:          $88 - $130</t>
        </r>
      </text>
    </comment>
    <comment ref="H22" authorId="1" shapeId="0" xr:uid="{0C231E4A-5CCA-45B6-A564-A8404311C890}">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728DBB7E-2500-402E-9C79-B4F2DE38F18E}">
      <text>
        <r>
          <rPr>
            <sz val="9"/>
            <color indexed="81"/>
            <rFont val="Tahoma"/>
            <family val="2"/>
          </rPr>
          <t>PV Benchmark Range:     $148 - $165            PV+ESS Range:          $148 - $165</t>
        </r>
      </text>
    </comment>
    <comment ref="H22" authorId="1" shapeId="0" xr:uid="{7C23DB7E-0B7B-48E3-9B3F-C52FCC964976}">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E64FD671-10EE-4EAE-B79A-020FD21517C8}">
      <text>
        <r>
          <rPr>
            <sz val="9"/>
            <color indexed="81"/>
            <rFont val="Tahoma"/>
            <family val="2"/>
          </rPr>
          <t>PV Benchmark Range:     $189 - $236            PV+ESS Range:          $276 - $381</t>
        </r>
      </text>
    </comment>
    <comment ref="H22" authorId="1" shapeId="0" xr:uid="{74DDC738-5D89-4F17-9B6B-2BD05435A6AA}">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C1065E28-E507-424D-B00D-D67505C8F27F}">
      <text>
        <r>
          <rPr>
            <sz val="9"/>
            <color indexed="81"/>
            <rFont val="Tahoma"/>
            <family val="2"/>
          </rPr>
          <t>PV Benchmark Range:     $17 - $26            PV+ESS Range:          $35 - $57</t>
        </r>
      </text>
    </comment>
    <comment ref="H22" authorId="1" shapeId="0" xr:uid="{53BC5991-37BF-4FBA-B71A-2281D783C354}">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<sst xmlns="http://schemas.openxmlformats.org/spreadsheetml/2006/main" count="697" uniqueCount="320">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</sst>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232.28546335992257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141.78989437683327</c:v>
                </c:pt>
                <c:pt idx="1">
                  <c:v>143.97949462667714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583.70158529250955</c:v>
                </c:pt>
                <c:pt idx="1">
                  <c:v>603.60608529250965</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2393.6119008565702</c:v>
                </c:pt>
                <c:pt idx="1">
                  <c:v>2401.1119008565702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567.08808935249658</c:v>
                </c:pt>
                <c:pt idx="1">
                  <c:v>597.08298667215342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1.4178989437683327</c:v>
                </c:pt>
                <c:pt idx="1">
                  <c:v>1.4178989437683327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0.23228546335992259</c:v>
                </c:pt>
                <c:pt idx="1">
                  <c:v>0.23228546335992259</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8.2956397934839643</c:v>
                </c:pt>
                <c:pt idx="1">
                  <c:v>8.2956397934839643</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10.369549741854955</c:v>
                </c:pt>
                <c:pt idx="1">
                  <c:v>10.369549741854955</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161.3505254844784</c:v>
                </c:pt>
                <c:pt idx="1">
                  <c:v>161.3505254844784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54.87</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232.28546335992257</v>
      </c>
      <c r="E10" s="30">
        <v>1</v>
      </c>
      <c r="F10" s="7">
        <f t="shared" ref="F10:F21" si="0">E10*D10*includerow(I10,IncludeESS,IncludeIndirect)</f>
        <v>232.28546335992257</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28.357978875366655</v>
      </c>
      <c r="E13" s="30">
        <f>1/ModuleEfficiency</f>
        <v>5</v>
      </c>
      <c r="F13" s="7">
        <f t="shared" si="0"/>
        <v>141.78989437683327</v>
      </c>
      <c r="G13" s="49">
        <f>SBOSMMP</f>
        <v>28.795898925335425</v>
      </c>
      <c r="H13" s="7">
        <f t="shared" si="1"/>
        <v>143.97949462667714</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116.74031705850192</v>
      </c>
      <c r="E15" s="30">
        <f>1/ModuleEfficiency</f>
        <v>5</v>
      </c>
      <c r="F15" s="7">
        <f t="shared" si="0"/>
        <v>583.70158529250955</v>
      </c>
      <c r="G15" s="49">
        <f>FieldworkMMP</f>
        <v>120.72121705850194</v>
      </c>
      <c r="H15" s="7">
        <f t="shared" si="1"/>
        <v>603.60608529250965</v>
      </c>
      <c r="I15" s="37"/>
      <c r="J15" s="2"/>
      <c r="K15"/>
      <c r="L15"/>
      <c r="M15"/>
      <c r="N15"/>
      <c r="O15"/>
      <c r="P15"/>
      <c r="Q15"/>
      <c r="R15"/>
      <c r="S15"/>
      <c r="T15"/>
    </row>
    <row r="16" spans="1:20" ht="18" customHeight="1">
      <c r="A16" s="13" t="s">
        <v>41</v>
      </c>
      <c r="B16" s="34" t="s">
        <v>82</v>
      </c>
      <c r="C16" s="24" t="str">
        <f>OfficeworkUnit</f>
        <v>kWdc</v>
      </c>
      <c r="D16" s="49">
        <f>OfficeworkMSP</f>
        <v>2393.6119008565702</v>
      </c>
      <c r="E16" s="30">
        <v>1</v>
      </c>
      <c r="F16" s="7">
        <f t="shared" si="0"/>
        <v>2393.6119008565702</v>
      </c>
      <c r="G16" s="49">
        <f>OfficeworkMMP</f>
        <v>2401.1119008565702</v>
      </c>
      <c r="H16" s="7">
        <f t="shared" si="1"/>
        <v>2401.1119008565702</v>
      </c>
      <c r="I16" s="37" t="s">
        <v>83</v>
      </c>
      <c r="J16" s="2"/>
      <c r="K16"/>
      <c r="L16"/>
      <c r="M16"/>
      <c r="N16"/>
      <c r="O16"/>
      <c r="P16"/>
      <c r="Q16"/>
      <c r="R16"/>
      <c r="S16"/>
      <c r="T16"/>
    </row>
    <row r="17" spans="1:20" ht="18" customHeight="1">
      <c r="A17" s="13" t="s">
        <v>11</v>
      </c>
      <c r="B17" s="65" t="s">
        <v>84</v>
      </c>
      <c r="C17" s="24" t="str">
        <f>OtherUnit</f>
        <v>kWdc</v>
      </c>
      <c r="D17" s="49">
        <f>OtherMSP</f>
        <v>567.08808935249658</v>
      </c>
      <c r="E17" s="30">
        <v>1</v>
      </c>
      <c r="F17" s="7">
        <f t="shared" si="0"/>
        <v>567.08808935249658</v>
      </c>
      <c r="G17" s="49">
        <f>OtherMMP</f>
        <v>597.08298667215342</v>
      </c>
      <c r="H17" s="7">
        <f t="shared" si="1"/>
        <v>597.08298667215342</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4147.8198967419821</v>
      </c>
      <c r="G22" s="15" t="s">
        <v>61</v>
      </c>
      <c r="H22" s="8">
        <f>SUM(H10:H21)</f>
        <v>4330.6855769369613</v>
      </c>
      <c r="I22"/>
      <c r="J22"/>
    </row>
  </sheetData>
  <sheetProtection algorithmName="SHA-512" hashValue="RGGRiKwQN5w+3eYJuXvXvxv/TQM+wa/ZEoM35L6xwGGUQCG1qmkysaVIdPp1QgDa6vrdB1O2sURp2/PMb3xIgw==" saltValue="04MkQpTZRn/jF1TqDOYANQ=="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8.5433624430400652</v>
      </c>
      <c r="F11" s="7">
        <f t="shared" si="0"/>
        <v>12.815043664560097</v>
      </c>
      <c r="G11" s="10"/>
      <c r="H11" s="12">
        <f t="shared" si="1"/>
        <v>12.815043664560097</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0.71744729954988795</v>
      </c>
      <c r="F13" s="7">
        <f t="shared" si="0"/>
        <v>4.5199179871642938</v>
      </c>
      <c r="G13" s="10"/>
      <c r="H13" s="12">
        <f t="shared" si="1"/>
        <v>4.5199179871642938</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13.654896266021298</v>
      </c>
      <c r="E18" s="30">
        <v>1</v>
      </c>
      <c r="F18" s="7">
        <f t="shared" si="0"/>
        <v>13.654896266021298</v>
      </c>
      <c r="G18" s="75">
        <f>ModuleMarketPrice-SUM(H10:H17,H19:H21)</f>
        <v>102.06331045711914</v>
      </c>
      <c r="H18" s="12">
        <f t="shared" si="1"/>
        <v>102.06331045711914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232.28546335992257</v>
      </c>
      <c r="G22" s="15" t="s">
        <v>61</v>
      </c>
      <c r="H22" s="8">
        <f>SUM(H10:H21)</f>
        <v>336</v>
      </c>
      <c r="I22"/>
      <c r="J22"/>
    </row>
    <row r="23" spans="1:10">
      <c r="F23" s="11"/>
    </row>
  </sheetData>
  <sheetProtection algorithmName="SHA-512" hashValue="NOjszwqcuK4FomItxtNsHhPJRLy4CZqv6291KwMWMKDFfRktDfFEWYJnIn5o5HHPqb6xzTjh7q+rEaiUp63OBg==" saltValue="J7WU9Awisd/+ogF2Pk3/l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2Brsgr+NtehZKHmTIAgIIM2++RjW2jdIKkLNAAGau0K08frbKLwy9IxNFoQqUK6swZ4PmS6pRYCn/EMpNACFGg==" saltValue="Nyatj3hOQgDKhQSrMrQaX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08x62yLYSTfeOxhk2CFMyeegAQS6LCG7nQw+epSuBgNZpuCVF3H03HwyzeVMNE51uF0c9HRRhK/O57WdKEOILw==" saltValue="iLw/GG1M5CGJrn95odbMxQ=="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2.9281493377457887E-2</v>
      </c>
      <c r="F11" s="7">
        <f t="shared" si="0"/>
        <v>5.8562986754915771</v>
      </c>
      <c r="G11" s="5"/>
      <c r="H11" s="12">
        <f t="shared" si="1"/>
        <v>5.8562986754915771</v>
      </c>
      <c r="I11" s="61"/>
      <c r="J11" s="2" t="s">
        <v>137</v>
      </c>
    </row>
    <row r="12" spans="1:15" ht="18" customHeight="1">
      <c r="A12" s="13" t="s">
        <v>138</v>
      </c>
      <c r="B12" s="6"/>
      <c r="C12" s="28" t="s">
        <v>89</v>
      </c>
      <c r="D12" s="4">
        <v>2.1</v>
      </c>
      <c r="E12" s="30">
        <f>1/ModuleWidth</f>
        <v>0.62460961898813239</v>
      </c>
      <c r="F12" s="7">
        <f t="shared" si="0"/>
        <v>1.311680199875078</v>
      </c>
      <c r="G12" s="67">
        <f>D12*(1+Tariff301)</f>
        <v>2.625</v>
      </c>
      <c r="H12" s="12">
        <f t="shared" si="1"/>
        <v>1.6396002498438476</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28.357978875366655</v>
      </c>
      <c r="G22" s="15" t="s">
        <v>61</v>
      </c>
      <c r="H22" s="8">
        <f>SUM(H10:H21)</f>
        <v>28.795898925335425</v>
      </c>
      <c r="I22"/>
      <c r="J22"/>
    </row>
    <row r="23" spans="1:10">
      <c r="F23" s="11"/>
    </row>
  </sheetData>
  <sheetProtection algorithmName="SHA-512" hashValue="eLFC8uuZyoXVi30rqmRCTEuOqVx4oRXLyCLUh98J+fGkVHC5+KeHeb/rtVOa+EPd2KAQh45yUC1eacsNA6tdKA==" saltValue="L1rNEqyMHEncnVytKZYQ6w=="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40.051094890510946</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hmEglkNBG12422q5D6UjsxIKuzyNIcnfYh4zQYFyBwCQuPTN0/oNFK/7+wFIxqCFsmEGOTfqfsdWdi2StGn17A==" saltValue="PycuqxehAh0POfe9+Lq2Ew=="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20.757426644796794</v>
      </c>
      <c r="G13" s="5"/>
      <c r="H13" s="12">
        <f t="shared" si="1"/>
        <v>20.757426644796794</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36.449790413705124</v>
      </c>
      <c r="G15" s="4"/>
      <c r="H15" s="12">
        <f t="shared" si="1"/>
        <v>36.449790413705124</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116.74031705850192</v>
      </c>
      <c r="G22" s="15" t="s">
        <v>61</v>
      </c>
      <c r="H22" s="8">
        <f>SUM(H10:H21)</f>
        <v>120.72121705850194</v>
      </c>
      <c r="I22"/>
      <c r="J22"/>
    </row>
    <row r="23" spans="1:10">
      <c r="F23" s="11"/>
    </row>
  </sheetData>
  <sheetProtection algorithmName="SHA-512" hashValue="FdKkKW8RkzJIMSSlMLvnaUabZ0RmUAVn5YeZnOfvC6wAua+dZOBAbQScSNu7Vd2EtLlF1BtLEhSV37AZ4/a7SQ==" saltValue="zKHXK9erDQjdwZsa4QB2H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54.87</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1300.7426644796792</v>
      </c>
      <c r="G12" s="5"/>
      <c r="H12" s="12">
        <f t="shared" si="1"/>
        <v>1300.7426644796792</v>
      </c>
      <c r="I12" s="37"/>
      <c r="J12" s="2" t="s">
        <v>302</v>
      </c>
    </row>
    <row r="13" spans="1:15" ht="18" customHeight="1">
      <c r="A13" s="13" t="s">
        <v>163</v>
      </c>
      <c r="B13" s="6">
        <v>25000</v>
      </c>
      <c r="C13" s="28"/>
      <c r="D13" s="4"/>
      <c r="E13" s="30"/>
      <c r="F13" s="7">
        <f t="shared" si="0"/>
        <v>455.62238017131403</v>
      </c>
      <c r="G13" s="5"/>
      <c r="H13" s="12">
        <f t="shared" si="1"/>
        <v>455.62238017131403</v>
      </c>
      <c r="I13" s="37"/>
      <c r="J13" s="2" t="s">
        <v>164</v>
      </c>
    </row>
    <row r="14" spans="1:15" ht="18" customHeight="1">
      <c r="A14" s="13" t="s">
        <v>303</v>
      </c>
      <c r="B14" s="6">
        <v>30000</v>
      </c>
      <c r="C14" s="28" t="s">
        <v>22</v>
      </c>
      <c r="D14" s="4">
        <v>60</v>
      </c>
      <c r="E14" s="30">
        <v>1</v>
      </c>
      <c r="F14" s="7">
        <f t="shared" si="0"/>
        <v>606.74685620557682</v>
      </c>
      <c r="G14" s="5"/>
      <c r="H14" s="12">
        <f t="shared" si="1"/>
        <v>606.74685620557682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2393.6119008565702</v>
      </c>
      <c r="G22" s="15" t="s">
        <v>61</v>
      </c>
      <c r="H22" s="8">
        <f>SUM(H10:H21)</f>
        <v>2401.1119008565702</v>
      </c>
      <c r="I22"/>
      <c r="J22"/>
    </row>
    <row r="23" spans="1:10">
      <c r="F23" s="11"/>
    </row>
  </sheetData>
  <sheetProtection algorithmName="SHA-512" hashValue="X+bZbvoRUmMct5nCFfcya8kP1pV6tkkboW2gVILNjQaB5TMdItY9z6j1hFZOscHn27sIxJ3rNhS0uK2MFnobuQ==" saltValue="3G9I7tleUSYee35R7trPEQ=="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34.998262631943518</v>
      </c>
      <c r="E10" s="30">
        <v>1</v>
      </c>
      <c r="F10" s="7">
        <f t="shared" ref="F10:F21" si="0">($B10/$A$3+$E10*$D10)*includerow($I10,IncludeESS,IncludeIndirect)</f>
        <v>34.998262631943518</v>
      </c>
      <c r="G10" s="67">
        <f>B10/$A$3+(SysModuleMMP+SysInverterMMP+SysESSMMP+SysSBOSMMP+SysEBOSMMP)*SalesTaxRate</f>
        <v>42.275307038712242</v>
      </c>
      <c r="H10" s="12">
        <f t="shared" ref="H10:H21" si="1">IF($G10&lt;&gt;0,$G10*$E10*includerow($I10,IncludeESS,IncludeIndirect),($B10/$A$3+$D10*$E10)*includerow($I10,IncludeESS,IncludeIndirect))</f>
        <v>42.275307038712242</v>
      </c>
      <c r="I10" s="37"/>
      <c r="J10" s="2" t="s">
        <v>167</v>
      </c>
    </row>
    <row r="11" spans="1:15" ht="18" customHeight="1">
      <c r="A11" s="13" t="s">
        <v>168</v>
      </c>
      <c r="B11" s="6"/>
      <c r="C11" s="28" t="s">
        <v>22</v>
      </c>
      <c r="D11" s="66">
        <f>(SysModuleMSP+SysInverterMSP+SysESSMSP+SysSBOSMSP+SysEBOSMSP+SysFieldworkMSP+SysOfficeworkMSP)*ContingencyRate</f>
        <v>179.03659036947428</v>
      </c>
      <c r="E11" s="30">
        <v>1</v>
      </c>
      <c r="F11" s="7">
        <f t="shared" si="0"/>
        <v>179.03659036947428</v>
      </c>
      <c r="G11" s="67">
        <f>B11/$A$3+(SysModuleMMP+SysInverterMMP+SysESSMMP+SysSBOSMMP+SysEBOSMMP+SysFieldworkMMP+SysOfficeworkMMP)*ContingencyRate</f>
        <v>186.68012951324042</v>
      </c>
      <c r="H11" s="12">
        <f t="shared" si="1"/>
        <v>186.68012951324042</v>
      </c>
      <c r="I11" s="37"/>
      <c r="J11" s="2" t="s">
        <v>169</v>
      </c>
    </row>
    <row r="12" spans="1:15" ht="18" customHeight="1">
      <c r="A12" s="13" t="s">
        <v>170</v>
      </c>
      <c r="B12" s="6">
        <v>1000000</v>
      </c>
      <c r="C12" s="28" t="s">
        <v>22</v>
      </c>
      <c r="D12" s="66">
        <f>(SysModuleMSP+SysInverterMSP+SysESSMSP+SysSBOSMSP+SysEBOSMSP+SysFieldworkMSP+SysOfficeworkMSP)*OverheadRate</f>
        <v>35.807318073894855</v>
      </c>
      <c r="E12" s="30">
        <v>1</v>
      </c>
      <c r="F12" s="7">
        <f t="shared" si="0"/>
        <v>45.807318073894855</v>
      </c>
      <c r="G12" s="67">
        <f>B12/$A$3+(SysModuleMMP+SysInverterMMP+SysESSMMP+SysSBOSMMP+SysEBOSMMP+SysFieldworkMMP+SysOfficeworkMMP)*OverheadRate</f>
        <v>47.336025902648082</v>
      </c>
      <c r="H12" s="12">
        <f t="shared" si="1"/>
        <v>47.336025902648082</v>
      </c>
      <c r="I12" s="37"/>
      <c r="J12" s="2" t="s">
        <v>171</v>
      </c>
    </row>
    <row r="13" spans="1:15" ht="18" customHeight="1">
      <c r="A13" s="13" t="s">
        <v>107</v>
      </c>
      <c r="B13" s="6"/>
      <c r="C13" s="28" t="s">
        <v>22</v>
      </c>
      <c r="D13" s="66">
        <f>( SysModuleMSP+ SysInverterMSP+ SysESSMSP+ SysSBOSMSP+ SysEBOSMSP+ SysFieldworkMSP+ SysOfficeworkMSP+SUM(F10:F12))* DeveloperProfitMSP</f>
        <v>307.24591827718388</v>
      </c>
      <c r="E13" s="30">
        <v>1</v>
      </c>
      <c r="F13" s="7">
        <f t="shared" si="0"/>
        <v>307.24591827718388</v>
      </c>
      <c r="G13" s="67">
        <f>B13/$A$3+(SysModuleMMP+SysInverterMMP+SysESSMMP+SysSBOSMMP+SysEBOSMMP+SysFieldworkMMP+SysOfficeworkMMP+SUM(H10:H12))*DeveloperProfitMMP</f>
        <v>320.79152421755271</v>
      </c>
      <c r="H13" s="12">
        <f t="shared" si="1"/>
        <v>320.79152421755271</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567.08808935249658</v>
      </c>
      <c r="G22" s="15" t="s">
        <v>61</v>
      </c>
      <c r="H22" s="8">
        <f>SUM(H10:H21)</f>
        <v>597.08298667215342</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fw4wGQDKUCXlpi3x9izuzN3EvIaLqm5F/TtdH3wQOOXpAhp4EELx8vRNqpT+xrbpX2y1kgheTP/4+Y5ppSuHOA==" saltValue="P7ZmJvvGAYAZoojPGKU2Qg=="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54.87</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141.78989437683327</v>
      </c>
      <c r="E12" s="30">
        <f>PartsLossRate/ModuleEfficiency</f>
        <v>0.01</v>
      </c>
      <c r="F12" s="7">
        <f t="shared" si="0"/>
        <v>1.4178989437683327</v>
      </c>
      <c r="G12" s="5"/>
      <c r="H12" s="12">
        <f t="shared" si="1"/>
        <v>1.4178989437683327</v>
      </c>
      <c r="I12" s="37"/>
      <c r="J12" s="2" t="s">
        <v>178</v>
      </c>
    </row>
    <row r="13" spans="1:15" ht="18" customHeight="1">
      <c r="A13" s="13" t="s">
        <v>179</v>
      </c>
      <c r="B13" s="6"/>
      <c r="C13" s="28" t="s">
        <v>22</v>
      </c>
      <c r="D13" s="66">
        <f>SysModuleMSP</f>
        <v>232.28546335992257</v>
      </c>
      <c r="E13" s="30">
        <f>ModuleLossRate</f>
        <v>1E-3</v>
      </c>
      <c r="F13" s="7">
        <f t="shared" si="0"/>
        <v>0.23228546335992259</v>
      </c>
      <c r="G13" s="5"/>
      <c r="H13" s="12">
        <f t="shared" si="1"/>
        <v>0.23228546335992259</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8.2956397934839643</v>
      </c>
      <c r="E17" s="30">
        <f>IncludeIndirect*1</f>
        <v>1</v>
      </c>
      <c r="F17" s="7">
        <f t="shared" si="0"/>
        <v>8.2956397934839643</v>
      </c>
      <c r="G17" s="4"/>
      <c r="H17" s="12">
        <f t="shared" si="1"/>
        <v>8.2956397934839643</v>
      </c>
      <c r="I17" s="37" t="s">
        <v>83</v>
      </c>
      <c r="J17" s="2" t="s">
        <v>189</v>
      </c>
    </row>
    <row r="18" spans="1:10" ht="18" customHeight="1">
      <c r="A18" s="13" t="s">
        <v>190</v>
      </c>
      <c r="B18" s="6"/>
      <c r="C18" s="29" t="s">
        <v>188</v>
      </c>
      <c r="D18" s="66">
        <f>SystemMSP*InsuranceRate</f>
        <v>10.369549741854955</v>
      </c>
      <c r="E18" s="30">
        <f>IncludeIndirect*1</f>
        <v>1</v>
      </c>
      <c r="F18" s="7">
        <f t="shared" si="0"/>
        <v>10.369549741854955</v>
      </c>
      <c r="G18" s="4"/>
      <c r="H18" s="12">
        <f t="shared" si="1"/>
        <v>10.369549741854955</v>
      </c>
      <c r="I18" s="37" t="s">
        <v>83</v>
      </c>
      <c r="J18" s="2" t="s">
        <v>305</v>
      </c>
    </row>
    <row r="19" spans="1:10" ht="18" customHeight="1">
      <c r="A19" s="13" t="s">
        <v>170</v>
      </c>
      <c r="B19" s="6">
        <v>8853.3033333333296</v>
      </c>
      <c r="C19" s="29"/>
      <c r="D19" s="4"/>
      <c r="E19" s="30"/>
      <c r="F19" s="7">
        <f t="shared" si="0"/>
        <v>161.3505254844784</v>
      </c>
      <c r="G19" s="4"/>
      <c r="H19" s="12">
        <f t="shared" si="1"/>
        <v>161.3505254844784</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192.89195511096355</v>
      </c>
      <c r="G22" s="15" t="s">
        <v>61</v>
      </c>
      <c r="H22" s="8">
        <f>SUM(H10:H21)</f>
        <v>192.89195511096355</v>
      </c>
      <c r="I22"/>
      <c r="J22"/>
    </row>
    <row r="23" spans="1:10">
      <c r="F23" s="11"/>
    </row>
  </sheetData>
  <sheetProtection algorithmName="SHA-512" hashValue="FB9rULPFjp50UdThMNy8ghJ//vi2O5E2aCOiBgs/4qRMAnWNfJaFyVpfGWg/oQAUUlJYxOp1Jkl+OSFe2HRzbw==" saltValue="0ZcAF/6xmq4DLPv5fG4sZ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4.3529999999999998</v>
      </c>
      <c r="D10" s="37" t="s">
        <v>89</v>
      </c>
      <c r="E10" s="59" t="str">
        <f t="shared" si="0"/>
        <v>/</v>
      </c>
      <c r="F10" s="37"/>
      <c r="G10" s="58"/>
      <c r="H10" s="2"/>
    </row>
    <row r="11" spans="1:8">
      <c r="A11" s="13" t="s">
        <v>1</v>
      </c>
      <c r="B11" s="13" t="s">
        <v>203</v>
      </c>
      <c r="C11" s="2">
        <v>1.601</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IPQkjhfS4mN9Ghx6qh+kRhLdDHCt7fSS85u4kTPqcC6W0p2TT+tzfykhK1AJnieEQR4pFm9jI8AqvAAld+s+Gg==" saltValue="qZXuikA87dMYpRxqgLDjdg=="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2026-04-29T23:38:53Z</dcterms:modified>
</cp:coreProperties>
</file>