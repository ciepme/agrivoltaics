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PVeconomicsfiles\"/>
    </mc:Choice>
  </mc:AlternateContent>
  <xr:revisionPtr revIDLastSave="0" documentId="13_ncr:1_{08280BA3-C3B2-4563-A454-6B4DC5EB9FA4}" xr6:coauthVersionLast="47" xr6:coauthVersionMax="47" xr10:uidLastSave="{00000000-0000-0000-0000-000000000000}"/>
  <bookViews>
    <workbookView xWindow="9600" yWindow="389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20" i="14"/>
  <c r="F11" i="21"/>
  <c r="H16" i="17"/>
  <c r="F13" i="21"/>
  <c r="H15" i="21"/>
  <c r="F10" i="20"/>
  <c r="F10" i="21"/>
  <c r="F21" i="14"/>
  <c r="F16" i="21"/>
  <c r="F21" i="17"/>
  <c r="H11" i="18"/>
  <c r="H12" i="17"/>
  <c r="H17" i="20"/>
  <c r="F17" i="17"/>
  <c r="H17" i="17"/>
  <c r="H13" i="19"/>
  <c r="H18" i="3"/>
  <c r="F20" i="16"/>
  <c r="H14" i="20"/>
  <c r="F19" i="14"/>
  <c r="F10" i="17"/>
  <c r="F21" i="3"/>
  <c r="F12" i="20"/>
  <c r="F19" i="3"/>
  <c r="H10" i="16"/>
  <c r="F19" i="17"/>
  <c r="F18" i="14"/>
  <c r="H12" i="19"/>
  <c r="H21" i="14"/>
  <c r="F13" i="20"/>
  <c r="F20" i="3"/>
  <c r="F20" i="20"/>
  <c r="H11" i="16"/>
  <c r="H15" i="14"/>
  <c r="H20" i="21"/>
  <c r="H20" i="3"/>
  <c r="F19" i="20"/>
  <c r="F12" i="17"/>
  <c r="H19" i="3"/>
  <c r="H15" i="17"/>
  <c r="F10" i="18"/>
  <c r="H10" i="20"/>
  <c r="F17" i="14"/>
  <c r="H17" i="14"/>
  <c r="F20" i="21"/>
  <c r="H12" i="20"/>
  <c r="F17" i="20"/>
  <c r="F11" i="20"/>
  <c r="H21" i="3"/>
  <c r="H20" i="14"/>
  <c r="F14" i="21"/>
  <c r="F15" i="19"/>
  <c r="H20" i="17"/>
  <c r="H14" i="18"/>
  <c r="H11" i="20"/>
  <c r="H18" i="14"/>
  <c r="H16" i="14"/>
  <c r="F20" i="17"/>
  <c r="H10" i="17"/>
  <c r="F17" i="21"/>
  <c r="F18" i="3"/>
  <c r="F11" i="17"/>
  <c r="H21" i="17"/>
  <c r="H11" i="17"/>
  <c r="F17" i="24"/>
  <c r="F12" i="21"/>
  <c r="H19" i="14"/>
  <c r="F15" i="14"/>
  <c r="H13" i="17"/>
  <c r="F16" i="14"/>
  <c r="H21" i="20"/>
  <c r="H13" i="20"/>
  <c r="H17" i="21"/>
  <c r="H21" i="21"/>
  <c r="F14" i="17"/>
  <c r="H10" i="24"/>
  <c r="F21" i="20"/>
  <c r="F21" i="21"/>
  <c r="F15" i="20"/>
  <c r="F21" i="22"/>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22"/>
  <c r="H19" i="22"/>
  <c r="F17" i="19"/>
  <c r="F21" i="18"/>
  <c r="H15" i="19"/>
  <c r="H10" i="19"/>
  <c r="H17" i="16"/>
  <c r="H18" i="18"/>
  <c r="F11" i="22"/>
  <c r="F10" i="24"/>
  <c r="F12" i="19"/>
  <c r="F14" i="18"/>
  <c r="H19" i="20"/>
  <c r="H17" i="18"/>
  <c r="F21" i="19"/>
  <c r="H11" i="24"/>
  <c r="F20" i="22"/>
  <c r="F14" i="19"/>
  <c r="F11" i="19"/>
  <c r="H14" i="21"/>
  <c r="F15" i="16"/>
  <c r="F15" i="21"/>
  <c r="H10" i="18"/>
  <c r="F11" i="16"/>
  <c r="H15" i="18"/>
  <c r="H13" i="21"/>
  <c r="H14" i="19"/>
  <c r="H16" i="24"/>
  <c r="F11" i="24"/>
  <c r="F16" i="24"/>
  <c r="H21" i="16"/>
  <c r="F13" i="24"/>
  <c r="H21" i="22"/>
  <c r="H18" i="24"/>
  <c r="H21" i="19"/>
  <c r="F16" i="20"/>
  <c r="F18" i="24"/>
  <c r="H19" i="24"/>
  <c r="H19" i="19"/>
  <c r="F17" i="16"/>
  <c r="H12" i="24"/>
  <c r="F18" i="16"/>
  <c r="F19" i="16"/>
  <c r="H20" i="16"/>
  <c r="F16" i="18"/>
  <c r="H14" i="17"/>
  <c r="H12" i="18"/>
  <c r="F17" i="18"/>
  <c r="F13" i="16"/>
  <c r="F19" i="18"/>
  <c r="H13" i="18"/>
  <c r="F13" i="19"/>
  <c r="H12" i="16"/>
  <c r="H16" i="22"/>
  <c r="H15" i="24"/>
  <c r="F13" i="18"/>
  <c r="F19" i="19"/>
  <c r="H16" i="19"/>
  <c r="F16" i="16"/>
  <c r="H20" i="24"/>
  <c r="H13" i="16"/>
  <c r="F21" i="24"/>
  <c r="H15" i="20"/>
  <c r="F20" i="24"/>
  <c r="F18" i="18"/>
  <c r="H10" i="22"/>
  <c r="H17" i="19"/>
  <c r="H14" i="16"/>
  <c r="F10" i="19"/>
  <c r="F16" i="17"/>
  <c r="F12" i="24"/>
  <c r="H18" i="16"/>
  <c r="F11" i="18"/>
  <c r="F14" i="20"/>
  <c r="F16" i="19"/>
  <c r="F21" i="16"/>
  <c r="F15" i="17"/>
  <c r="H19" i="17"/>
  <c r="H20" i="18"/>
  <c r="F14" i="24"/>
  <c r="H20" i="19"/>
  <c r="H16" i="18"/>
  <c r="H19" i="18"/>
  <c r="H11" i="19"/>
  <c r="H11" i="21"/>
  <c r="H13" i="24"/>
  <c r="F19" i="22"/>
  <c r="F15" i="24"/>
  <c r="F20" i="18"/>
  <c r="H20" i="22"/>
  <c r="F20" i="19"/>
  <c r="F13" i="17"/>
  <c r="F10" i="22"/>
  <c r="H10" i="21"/>
  <c r="H12" i="21"/>
  <c r="H19" i="16"/>
  <c r="F19" i="24"/>
  <c r="F12" i="16"/>
  <c r="F18" i="19"/>
  <c r="H18" i="19"/>
  <c r="F15" i="18"/>
  <c r="F12" i="18"/>
  <c r="H15" i="16"/>
  <c r="F10" i="16"/>
  <c r="H17" i="24"/>
  <c r="H11" i="22"/>
  <c r="F14" i="16"/>
  <c r="H14" i="24"/>
  <c r="H21" i="18"/>
  <c r="H21" i="24"/>
  <c r="H16" i="16"/>
  <c r="H16" i="21"/>
  <c r="D18" i="17" l="1"/>
  <c r="D18" i="20"/>
  <c r="G18" i="17"/>
  <c r="D18" i="21"/>
  <c r="H9" i="22"/>
  <c r="E9" i="22"/>
  <c r="F9" i="22"/>
  <c r="A2" i="19"/>
  <c r="A2" i="18"/>
  <c r="A2" i="24"/>
  <c r="A2" i="16"/>
  <c r="H9" i="14"/>
  <c r="F9" i="14"/>
  <c r="E9" i="14"/>
  <c r="H9" i="17"/>
  <c r="F9" i="17"/>
  <c r="E9" i="17"/>
  <c r="H9" i="20"/>
  <c r="F9" i="20"/>
  <c r="E9" i="20"/>
  <c r="H9" i="21"/>
  <c r="F9" i="21"/>
  <c r="E9" i="21"/>
  <c r="H9" i="3"/>
  <c r="F19" i="21"/>
  <c r="H16" i="20"/>
  <c r="F18" i="20"/>
  <c r="F18" i="17"/>
  <c r="H18" i="17"/>
  <c r="F18" i="21"/>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3" i="3"/>
  <c r="H16" i="3"/>
  <c r="F12" i="3"/>
  <c r="F14" i="3"/>
  <c r="F16" i="3"/>
  <c r="H13" i="3"/>
  <c r="H14" i="3"/>
  <c r="D15" i="22" l="1"/>
  <c r="D12" i="22"/>
  <c r="H22" i="16"/>
  <c r="G15" i="3" s="1"/>
  <c r="F22" i="16"/>
  <c r="D15" i="3" s="1"/>
  <c r="F15" i="3"/>
  <c r="H12" i="22"/>
  <c r="F15" i="22"/>
  <c r="H15" i="3"/>
  <c r="F22" i="20" l="1"/>
  <c r="D11" i="3" s="1"/>
  <c r="H15" i="22"/>
  <c r="F12" i="22"/>
  <c r="F11" i="3"/>
  <c r="D14" i="22" l="1"/>
  <c r="H22" i="17"/>
  <c r="G12" i="3" s="1"/>
  <c r="H12" i="3"/>
  <c r="F14" i="22"/>
  <c r="F22" i="21" l="1"/>
  <c r="D10" i="3" s="1"/>
  <c r="H14" i="22"/>
  <c r="H14" i="14"/>
  <c r="F10" i="3"/>
  <c r="H19" i="21"/>
  <c r="H18" i="20"/>
  <c r="F14" i="14"/>
  <c r="G20" i="20" l="1"/>
  <c r="G18" i="21"/>
  <c r="D12" i="14"/>
  <c r="D11" i="14"/>
  <c r="D10" i="14"/>
  <c r="D13" i="22"/>
  <c r="H20" i="20"/>
  <c r="H13" i="22"/>
  <c r="H18" i="21"/>
  <c r="F12" i="14"/>
  <c r="F11" i="14"/>
  <c r="F10" i="14"/>
  <c r="D13" i="14" l="1"/>
  <c r="H22" i="20"/>
  <c r="G11" i="3" s="1"/>
  <c r="H22" i="21"/>
  <c r="G10" i="3" s="1"/>
  <c r="F13" i="22"/>
  <c r="F13" i="14"/>
  <c r="H11" i="3"/>
  <c r="H10" i="3"/>
  <c r="G12" i="14" l="1"/>
  <c r="G11" i="14"/>
  <c r="G10" i="14"/>
  <c r="F22" i="14"/>
  <c r="D17" i="3" s="1"/>
  <c r="F17" i="3"/>
  <c r="H12" i="14"/>
  <c r="H11" i="14"/>
  <c r="H10" i="14"/>
  <c r="G13" i="14" l="1"/>
  <c r="F22" i="3"/>
  <c r="H13" i="14"/>
  <c r="D18" i="22" l="1"/>
  <c r="D17" i="22"/>
  <c r="H22" i="14"/>
  <c r="G17" i="3" s="1"/>
  <c r="F18" i="22"/>
  <c r="F17" i="22"/>
  <c r="H18" i="22"/>
  <c r="H17" i="3"/>
  <c r="H22" i="3" l="1"/>
  <c r="F22" i="22"/>
  <c r="H17" i="22"/>
  <c r="H22"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0C2C1269-29F9-4952-9491-F69544062ED1}">
      <text>
        <r>
          <rPr>
            <sz val="9"/>
            <color indexed="81"/>
            <rFont val="Tahoma"/>
            <family val="2"/>
          </rPr>
          <t>PV Benchmark Range:     $1172 - $1461            PV+ESS Range:          $1728 - $2365</t>
        </r>
      </text>
    </comment>
    <comment ref="H22" authorId="1" shapeId="0" xr:uid="{75F85C18-36B7-4EA6-B593-D6A752697BE7}">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256C183A-9EB2-4A74-BD61-2EC8CE7D6907}">
      <text>
        <r>
          <rPr>
            <sz val="9"/>
            <color indexed="81"/>
            <rFont val="Tahoma"/>
            <family val="2"/>
          </rPr>
          <t>Benchmark Range:     $211 - $289</t>
        </r>
      </text>
    </comment>
    <comment ref="H22" authorId="1" shapeId="0" xr:uid="{A321C39C-81A5-41CA-813D-3EEBB6E87B97}">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D2ACA590-02B8-4F7B-A19C-49935564A1DC}">
      <text>
        <r>
          <rPr>
            <sz val="9"/>
            <color indexed="81"/>
            <rFont val="Tahoma"/>
            <family val="2"/>
          </rPr>
          <t>Benchmark Range:     $35 - $104</t>
        </r>
      </text>
    </comment>
    <comment ref="H22" authorId="1" shapeId="0" xr:uid="{D1EADF29-26FD-4A86-92C2-94F664FD3794}">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C892668E-82F2-4D3C-A555-D33E9A8AB03B}">
      <text>
        <r>
          <rPr>
            <sz val="9"/>
            <color indexed="81"/>
            <rFont val="Tahoma"/>
            <family val="2"/>
          </rPr>
          <t>Benchmark Range:     $148 - $272</t>
        </r>
      </text>
    </comment>
    <comment ref="H22" authorId="1" shapeId="0" xr:uid="{8B4CA61E-3ABE-424C-91BD-1B20F913FA57}">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05305872-FB53-40A8-AABE-E451335E07D3}">
      <text>
        <r>
          <rPr>
            <sz val="9"/>
            <color indexed="81"/>
            <rFont val="Tahoma"/>
            <family val="2"/>
          </rPr>
          <t>PV Benchmark Range:     $28 - $47            PV+ESS Range:          $30 - $49</t>
        </r>
      </text>
    </comment>
    <comment ref="H22" authorId="1" shapeId="0" xr:uid="{BE89BA30-DD3A-4B9A-B551-0E5E4C08B4E7}">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53C996DE-B6C8-482F-B871-818980CA5FAE}">
      <text>
        <r>
          <rPr>
            <sz val="9"/>
            <color indexed="81"/>
            <rFont val="Tahoma"/>
            <family val="2"/>
          </rPr>
          <t>PV Benchmark Range:     $245 - $245            PV+ESS Range:          $245 - $245</t>
        </r>
      </text>
    </comment>
    <comment ref="H22" authorId="1" shapeId="0" xr:uid="{74A0C6B0-E699-45FF-A3B3-98A2B17946CF}">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321EF5EE-BEEF-4337-AF39-5CEC386FFB8B}">
      <text>
        <r>
          <rPr>
            <sz val="9"/>
            <color indexed="81"/>
            <rFont val="Tahoma"/>
            <family val="2"/>
          </rPr>
          <t>PV Benchmark Range:     $55 - $97            PV+ESS Range:          $88 - $130</t>
        </r>
      </text>
    </comment>
    <comment ref="H22" authorId="1" shapeId="0" xr:uid="{13C71591-66A5-457A-A68A-C4D44C44DDC4}">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B1E56F28-F49D-4DB6-BB49-D9ECD80409FB}">
      <text>
        <r>
          <rPr>
            <sz val="9"/>
            <color indexed="81"/>
            <rFont val="Tahoma"/>
            <family val="2"/>
          </rPr>
          <t>PV Benchmark Range:     $148 - $165            PV+ESS Range:          $148 - $165</t>
        </r>
      </text>
    </comment>
    <comment ref="H22" authorId="1" shapeId="0" xr:uid="{FE575DE2-BE38-4953-9A5C-C72E9F0068E2}">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F5009E3B-2C30-4399-94A0-B23099612B4B}">
      <text>
        <r>
          <rPr>
            <sz val="9"/>
            <color indexed="81"/>
            <rFont val="Tahoma"/>
            <family val="2"/>
          </rPr>
          <t>PV Benchmark Range:     $189 - $236            PV+ESS Range:          $276 - $381</t>
        </r>
      </text>
    </comment>
    <comment ref="H22" authorId="1" shapeId="0" xr:uid="{AC1C04B6-226D-45B2-877C-5D77510C0715}">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633C8B9F-EAB0-4853-AA9F-DBD7666545D0}">
      <text>
        <r>
          <rPr>
            <sz val="9"/>
            <color indexed="81"/>
            <rFont val="Tahoma"/>
            <family val="2"/>
          </rPr>
          <t>PV Benchmark Range:     $17 - $26            PV+ESS Range:          $35 - $57</t>
        </r>
      </text>
    </comment>
    <comment ref="H22" authorId="1" shapeId="0" xr:uid="{45E2BACD-2E9F-492B-812E-3400F26C6B05}">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<sst xmlns="http://schemas.openxmlformats.org/spreadsheetml/2006/main" count="697" uniqueCount="320">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</sst>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235.47844325722457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162.41796498945632</c:v>
                </c:pt>
                <c:pt idx="1">
                  <c:v>164.33872216961299</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382.97815733561583</c:v>
                </c:pt>
                <c:pt idx="1">
                  <c:v>402.88265733561582</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535.06164199644218</c:v>
                </c:pt>
                <c:pt idx="1">
                  <c:v>542.56164199644218</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273.84669821917055</c:v>
                </c:pt>
                <c:pt idx="1">
                  <c:v>303.12347498255531</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1.6241796498945633</c:v>
                </c:pt>
                <c:pt idx="1">
                  <c:v>1.6241796498945633</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0.23547844325722458</c:v>
                </c:pt>
                <c:pt idx="1">
                  <c:v>0.23547844325722458</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3.6382517386031181</c:v>
                </c:pt>
                <c:pt idx="1">
                  <c:v>3.6382517386031181</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4.5478146732538978</c:v>
                </c:pt>
                <c:pt idx="1">
                  <c:v>4.5478146732538978</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29.716051869007249</c:v>
                </c:pt>
                <c:pt idx="1">
                  <c:v>29.716051869007249</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11" workbookViewId="0">
      <selection activeCell="C3" sqref="C3"/>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297.93</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235.47844325722457</v>
      </c>
      <c r="E10" s="30">
        <v>1</v>
      </c>
      <c r="F10" s="7">
        <f t="shared" ref="F10:F21" si="0">E10*D10*includerow(I10,IncludeESS,IncludeIndirect)</f>
        <v>235.47844325722457</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32.483592997891265</v>
      </c>
      <c r="E13" s="30">
        <f>1/ModuleEfficiency</f>
        <v>5</v>
      </c>
      <c r="F13" s="7">
        <f t="shared" si="0"/>
        <v>162.41796498945632</v>
      </c>
      <c r="G13" s="49">
        <f>SBOSMMP</f>
        <v>32.867744433922596</v>
      </c>
      <c r="H13" s="7">
        <f t="shared" si="1"/>
        <v>164.33872216961299</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76.59563146712317</v>
      </c>
      <c r="E15" s="30">
        <f>1/ModuleEfficiency</f>
        <v>5</v>
      </c>
      <c r="F15" s="7">
        <f t="shared" si="0"/>
        <v>382.97815733561583</v>
      </c>
      <c r="G15" s="49">
        <f>FieldworkMMP</f>
        <v>80.576531467123161</v>
      </c>
      <c r="H15" s="7">
        <f t="shared" si="1"/>
        <v>402.88265733561582</v>
      </c>
      <c r="I15" s="37"/>
      <c r="J15" s="2"/>
      <c r="K15"/>
      <c r="L15"/>
      <c r="M15"/>
      <c r="N15"/>
      <c r="O15"/>
      <c r="P15"/>
      <c r="Q15"/>
      <c r="R15"/>
      <c r="S15"/>
      <c r="T15"/>
    </row>
    <row r="16" spans="1:20" ht="18" customHeight="1">
      <c r="A16" s="13" t="s">
        <v>41</v>
      </c>
      <c r="B16" s="34" t="s">
        <v>82</v>
      </c>
      <c r="C16" s="24" t="str">
        <f>OfficeworkUnit</f>
        <v>kWdc</v>
      </c>
      <c r="D16" s="49">
        <f>OfficeworkMSP</f>
        <v>535.06164199644218</v>
      </c>
      <c r="E16" s="30">
        <v>1</v>
      </c>
      <c r="F16" s="7">
        <f t="shared" si="0"/>
        <v>535.06164199644218</v>
      </c>
      <c r="G16" s="49">
        <f>OfficeworkMMP</f>
        <v>542.56164199644218</v>
      </c>
      <c r="H16" s="7">
        <f t="shared" si="1"/>
        <v>542.56164199644218</v>
      </c>
      <c r="I16" s="37" t="s">
        <v>83</v>
      </c>
      <c r="J16" s="2"/>
      <c r="K16"/>
      <c r="L16"/>
      <c r="M16"/>
      <c r="N16"/>
      <c r="O16"/>
      <c r="P16"/>
      <c r="Q16"/>
      <c r="R16"/>
      <c r="S16"/>
      <c r="T16"/>
    </row>
    <row r="17" spans="1:20" ht="18" customHeight="1">
      <c r="A17" s="13" t="s">
        <v>11</v>
      </c>
      <c r="B17" s="65" t="s">
        <v>84</v>
      </c>
      <c r="C17" s="24" t="str">
        <f>OtherUnit</f>
        <v>kWdc</v>
      </c>
      <c r="D17" s="49">
        <f>OtherMSP</f>
        <v>273.84669821917055</v>
      </c>
      <c r="E17" s="30">
        <v>1</v>
      </c>
      <c r="F17" s="7">
        <f t="shared" si="0"/>
        <v>273.84669821917055</v>
      </c>
      <c r="G17" s="49">
        <f>OtherMMP</f>
        <v>303.12347498255531</v>
      </c>
      <c r="H17" s="7">
        <f t="shared" si="1"/>
        <v>303.12347498255531</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1819.1258693015591</v>
      </c>
      <c r="G22" s="15" t="s">
        <v>61</v>
      </c>
      <c r="H22" s="8">
        <f>SUM(H10:H21)</f>
        <v>1997.8116059732774</v>
      </c>
      <c r="I22"/>
      <c r="J22"/>
    </row>
  </sheetData>
  <sheetProtection algorithmName="SHA-512" hashValue="CGoHrs/7xdPq7b2/53EbvNyx1jJKjI7lTuD0B5O8rvl0wJ+2/WR3Ybe2keNMCpeeM0TV2cQTAwcJ0Ywk5lPomw==" saltValue="u6IQ5Kny0Nr5m2d9pvrNH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9.221932114882506</v>
      </c>
      <c r="F11" s="7">
        <f t="shared" si="0"/>
        <v>13.832898172323759</v>
      </c>
      <c r="G11" s="10"/>
      <c r="H11" s="12">
        <f t="shared" si="1"/>
        <v>13.832898172323759</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1.0443864229765012</v>
      </c>
      <c r="F13" s="7">
        <f t="shared" si="0"/>
        <v>6.5796344647519573</v>
      </c>
      <c r="G13" s="10"/>
      <c r="H13" s="12">
        <f t="shared" si="1"/>
        <v>6.5796344647519573</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13.770305177971972</v>
      </c>
      <c r="E18" s="30">
        <v>1</v>
      </c>
      <c r="F18" s="7">
        <f t="shared" si="0"/>
        <v>13.770305177971972</v>
      </c>
      <c r="G18" s="75">
        <f>ModuleMarketPrice-SUM(H10:H17,H19:H21)</f>
        <v>98.985739471767829</v>
      </c>
      <c r="H18" s="12">
        <f t="shared" si="1"/>
        <v>98.985739471767829</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235.47844325722457</v>
      </c>
      <c r="G22" s="15" t="s">
        <v>61</v>
      </c>
      <c r="H22" s="8">
        <f>SUM(H10:H21)</f>
        <v>336</v>
      </c>
      <c r="I22"/>
      <c r="J22"/>
    </row>
    <row r="23" spans="1:10">
      <c r="F23" s="11"/>
    </row>
  </sheetData>
  <sheetProtection algorithmName="SHA-512" hashValue="1pwxuZVlJWCwkvx8pNMuTtKRWGzGvIhhbTPKNKsNxHvrEzt7Mtk4RS0+GIX2DIg758AQgo0sG1J9a8SQe2DUqA==" saltValue="9y91NcwWhGB7ChHELJuoYQ=="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jqmC8mi8gI2r7eCYS7KCK/Di7nWEHFLQIs/LaiKBlE/iydG9mrNEyezBDV9DN3ZzIK5rlEx0D9lXyEfI0HakCQ==" saltValue="JtVWGpqVJs1ZRAdyEwsb+w=="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xqB6Ng3IFXaxCkmTJEVvTPQ8iLSAM16UyQGfc10aDUaYIJ3tx3LsprPeTgM1BnlovHl9PIy7kBztiT2RsoQGHw==" saltValue="evu2Xvcm+zqwKle4q+CV6w=="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1489.6499999999999</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5.0984936268829661E-2</v>
      </c>
      <c r="F11" s="7">
        <f t="shared" si="0"/>
        <v>10.196987253765933</v>
      </c>
      <c r="G11" s="5"/>
      <c r="H11" s="12">
        <f t="shared" si="1"/>
        <v>10.196987253765933</v>
      </c>
      <c r="I11" s="61"/>
      <c r="J11" s="2" t="s">
        <v>137</v>
      </c>
    </row>
    <row r="12" spans="1:15" ht="18" customHeight="1">
      <c r="A12" s="13" t="s">
        <v>138</v>
      </c>
      <c r="B12" s="6"/>
      <c r="C12" s="28" t="s">
        <v>89</v>
      </c>
      <c r="D12" s="4">
        <v>2.1</v>
      </c>
      <c r="E12" s="30">
        <f>1/ModuleWidth</f>
        <v>0.5221932114882506</v>
      </c>
      <c r="F12" s="7">
        <f t="shared" si="0"/>
        <v>1.0966057441253263</v>
      </c>
      <c r="G12" s="67">
        <f>D12*(1+Tariff301)</f>
        <v>2.625</v>
      </c>
      <c r="H12" s="12">
        <f t="shared" si="1"/>
        <v>1.3707571801566578</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32.483592997891265</v>
      </c>
      <c r="G22" s="15" t="s">
        <v>61</v>
      </c>
      <c r="H22" s="8">
        <f>SUM(H10:H21)</f>
        <v>32.867744433922596</v>
      </c>
      <c r="I22"/>
      <c r="J22"/>
    </row>
    <row r="23" spans="1:10">
      <c r="F23" s="11"/>
    </row>
  </sheetData>
  <sheetProtection algorithmName="SHA-512" hashValue="QrP0Q4BKu+2f6IE/DTYVllaI1gmmnW7/VRwt6CjmN/ooubbU9hQSWL9XPbWoilj1hf0RclSEHTZD+i/ahacQKQ==" saltValue="TI9E7wF14RlviA6HMTkKH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217.46715328467153</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6iCeRTJu1AIDOihWU9x1QMjOORwhOGBC3tHeU3a216SVSpqmppuST/bH2lW1nLEI267MnPMdSOiP0jjBmzFJlg==" saltValue="6h6ZpRTG2KExowOtSqu+/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1489.6499999999999</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10.349545195180076</v>
      </c>
      <c r="G13" s="5"/>
      <c r="H13" s="12">
        <f t="shared" si="1"/>
        <v>10.349545195180076</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6.7129862719430742</v>
      </c>
      <c r="G15" s="4"/>
      <c r="H15" s="12">
        <f t="shared" si="1"/>
        <v>6.7129862719430742</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76.59563146712317</v>
      </c>
      <c r="G22" s="15" t="s">
        <v>61</v>
      </c>
      <c r="H22" s="8">
        <f>SUM(H10:H21)</f>
        <v>80.576531467123161</v>
      </c>
      <c r="I22"/>
      <c r="J22"/>
    </row>
    <row r="23" spans="1:10">
      <c r="F23" s="11"/>
    </row>
  </sheetData>
  <sheetProtection algorithmName="SHA-512" hashValue="FtZeQtTKI4RVltTj5vdp204+nJBZVGRka2X7CKDCtynljp5JU4eaxBRrq+JSgg/YJmciHUiMbNU3dq9/KXjAYg==" saltValue="oA5YNPLpO2jmdELqkDZgd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297.93</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259.9545195180076</v>
      </c>
      <c r="G12" s="5"/>
      <c r="H12" s="12">
        <f t="shared" si="1"/>
        <v>259.9545195180076</v>
      </c>
      <c r="I12" s="37"/>
      <c r="J12" s="2" t="s">
        <v>302</v>
      </c>
    </row>
    <row r="13" spans="1:15" ht="18" customHeight="1">
      <c r="A13" s="13" t="s">
        <v>163</v>
      </c>
      <c r="B13" s="6">
        <v>25000</v>
      </c>
      <c r="C13" s="28"/>
      <c r="D13" s="4"/>
      <c r="E13" s="30"/>
      <c r="F13" s="7">
        <f t="shared" si="0"/>
        <v>83.912328399288427</v>
      </c>
      <c r="G13" s="5"/>
      <c r="H13" s="12">
        <f t="shared" si="1"/>
        <v>83.912328399288427</v>
      </c>
      <c r="I13" s="37"/>
      <c r="J13" s="2" t="s">
        <v>164</v>
      </c>
    </row>
    <row r="14" spans="1:15" ht="18" customHeight="1">
      <c r="A14" s="13" t="s">
        <v>303</v>
      </c>
      <c r="B14" s="6">
        <v>30000</v>
      </c>
      <c r="C14" s="28" t="s">
        <v>22</v>
      </c>
      <c r="D14" s="4">
        <v>60</v>
      </c>
      <c r="E14" s="30">
        <v>1</v>
      </c>
      <c r="F14" s="7">
        <f t="shared" si="0"/>
        <v>160.69479407914611</v>
      </c>
      <c r="G14" s="5"/>
      <c r="H14" s="12">
        <f t="shared" si="1"/>
        <v>160.69479407914611</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535.06164199644218</v>
      </c>
      <c r="G22" s="15" t="s">
        <v>61</v>
      </c>
      <c r="H22" s="8">
        <f>SUM(H10:H21)</f>
        <v>542.56164199644218</v>
      </c>
      <c r="I22"/>
      <c r="J22"/>
    </row>
    <row r="23" spans="1:10">
      <c r="F23" s="11"/>
    </row>
  </sheetData>
  <sheetProtection algorithmName="SHA-512" hashValue="L7LUxCd8L8joqH3UuMSHc2f9dj0qngntNtO/Ro0+T/CzPmsMBLiKKrWCyZ5dSwhxwkP21WcQg6qYb2JDeqnR+A==" saltValue="cXgIcIsYJ0gBg7s/x0XnF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36.379883561519172</v>
      </c>
      <c r="E10" s="30">
        <v>1</v>
      </c>
      <c r="F10" s="7">
        <f t="shared" ref="F10:F21" si="0">($B10/$A$3+$E10*$D10)*includerow($I10,IncludeESS,IncludeIndirect)</f>
        <v>36.379883561519172</v>
      </c>
      <c r="G10" s="67">
        <f>B10/$A$3+(SysModuleMMP+SysInverterMMP+SysESSMMP+SysSBOSMMP+SysEBOSMMP)*SalesTaxRate</f>
        <v>43.456142236202524</v>
      </c>
      <c r="H10" s="12">
        <f t="shared" ref="H10:H21" si="1">IF($G10&lt;&gt;0,$G10*$E10*includerow($I10,IncludeESS,IncludeIndirect),($B10/$A$3+$D10*$E10)*includerow($I10,IncludeESS,IncludeIndirect))</f>
        <v>43.456142236202524</v>
      </c>
      <c r="I10" s="37"/>
      <c r="J10" s="2" t="s">
        <v>167</v>
      </c>
    </row>
    <row r="11" spans="1:15" ht="18" customHeight="1">
      <c r="A11" s="13" t="s">
        <v>168</v>
      </c>
      <c r="B11" s="6"/>
      <c r="C11" s="28" t="s">
        <v>22</v>
      </c>
      <c r="D11" s="66">
        <f>(SysModuleMSP+SysInverterMSP+SysESSMSP+SysSBOSMSP+SysEBOSMSP+SysFieldworkMSP+SysOfficeworkMSP)*ContingencyRate</f>
        <v>77.263958554119426</v>
      </c>
      <c r="E11" s="30">
        <v>1</v>
      </c>
      <c r="F11" s="7">
        <f t="shared" si="0"/>
        <v>77.263958554119426</v>
      </c>
      <c r="G11" s="67">
        <f>B11/$A$3+(SysModuleMMP+SysInverterMMP+SysESSMMP+SysSBOSMMP+SysEBOSMMP+SysFieldworkMMP+SysOfficeworkMMP)*ContingencyRate</f>
        <v>84.734406549536118</v>
      </c>
      <c r="H11" s="12">
        <f t="shared" si="1"/>
        <v>84.734406549536118</v>
      </c>
      <c r="I11" s="37"/>
      <c r="J11" s="2" t="s">
        <v>169</v>
      </c>
    </row>
    <row r="12" spans="1:15" ht="18" customHeight="1">
      <c r="A12" s="13" t="s">
        <v>170</v>
      </c>
      <c r="B12" s="6">
        <v>1000000</v>
      </c>
      <c r="C12" s="28" t="s">
        <v>22</v>
      </c>
      <c r="D12" s="66">
        <f>(SysModuleMSP+SysInverterMSP+SysESSMSP+SysSBOSMSP+SysEBOSMSP+SysFieldworkMSP+SysOfficeworkMSP)*OverheadRate</f>
        <v>15.452791710823886</v>
      </c>
      <c r="E12" s="30">
        <v>1</v>
      </c>
      <c r="F12" s="7">
        <f t="shared" si="0"/>
        <v>25.452791710823888</v>
      </c>
      <c r="G12" s="67">
        <f>B12/$A$3+(SysModuleMMP+SysInverterMMP+SysESSMMP+SysSBOSMMP+SysEBOSMMP+SysFieldworkMMP+SysOfficeworkMMP)*OverheadRate</f>
        <v>26.946881309907223</v>
      </c>
      <c r="H12" s="12">
        <f t="shared" si="1"/>
        <v>26.946881309907223</v>
      </c>
      <c r="I12" s="37"/>
      <c r="J12" s="2" t="s">
        <v>171</v>
      </c>
    </row>
    <row r="13" spans="1:15" ht="18" customHeight="1">
      <c r="A13" s="13" t="s">
        <v>107</v>
      </c>
      <c r="B13" s="6"/>
      <c r="C13" s="28" t="s">
        <v>22</v>
      </c>
      <c r="D13" s="66">
        <f>( SysModuleMSP+ SysInverterMSP+ SysESSMSP+ SysSBOSMSP+ SysEBOSMSP+ SysFieldworkMSP+ SysOfficeworkMSP+SUM(F10:F12))* DeveloperProfitMSP</f>
        <v>134.75006439270808</v>
      </c>
      <c r="E13" s="30">
        <v>1</v>
      </c>
      <c r="F13" s="7">
        <f t="shared" si="0"/>
        <v>134.75006439270808</v>
      </c>
      <c r="G13" s="67">
        <f>B13/$A$3+(SysModuleMMP+SysInverterMMP+SysESSMMP+SysSBOSMMP+SysEBOSMMP+SysFieldworkMMP+SysOfficeworkMMP+SUM(H10:H12))*DeveloperProfitMMP</f>
        <v>147.98604488690944</v>
      </c>
      <c r="H13" s="12">
        <f t="shared" si="1"/>
        <v>147.98604488690944</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273.84669821917055</v>
      </c>
      <c r="G22" s="15" t="s">
        <v>61</v>
      </c>
      <c r="H22" s="8">
        <f>SUM(H10:H21)</f>
        <v>303.12347498255531</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ForecI0x+1g7dKhh4g8EpSadFCH1NNaq9+sZZ/PznUHKT3BfiXp+XftDRVK3rVwM1Op3HlmW3SjilrfMCQwLw==" saltValue="wY9WMNTXTk4lpsy9ckpny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297.93</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162.41796498945632</v>
      </c>
      <c r="E12" s="30">
        <f>PartsLossRate/ModuleEfficiency</f>
        <v>0.01</v>
      </c>
      <c r="F12" s="7">
        <f t="shared" si="0"/>
        <v>1.6241796498945633</v>
      </c>
      <c r="G12" s="5"/>
      <c r="H12" s="12">
        <f t="shared" si="1"/>
        <v>1.6241796498945633</v>
      </c>
      <c r="I12" s="37"/>
      <c r="J12" s="2" t="s">
        <v>178</v>
      </c>
    </row>
    <row r="13" spans="1:15" ht="18" customHeight="1">
      <c r="A13" s="13" t="s">
        <v>179</v>
      </c>
      <c r="B13" s="6"/>
      <c r="C13" s="28" t="s">
        <v>22</v>
      </c>
      <c r="D13" s="66">
        <f>SysModuleMSP</f>
        <v>235.47844325722457</v>
      </c>
      <c r="E13" s="30">
        <f>ModuleLossRate</f>
        <v>1E-3</v>
      </c>
      <c r="F13" s="7">
        <f t="shared" si="0"/>
        <v>0.23547844325722458</v>
      </c>
      <c r="G13" s="5"/>
      <c r="H13" s="12">
        <f t="shared" si="1"/>
        <v>0.23547844325722458</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3.6382517386031181</v>
      </c>
      <c r="E17" s="30">
        <f>IncludeIndirect*1</f>
        <v>1</v>
      </c>
      <c r="F17" s="7">
        <f t="shared" si="0"/>
        <v>3.6382517386031181</v>
      </c>
      <c r="G17" s="4"/>
      <c r="H17" s="12">
        <f t="shared" si="1"/>
        <v>3.6382517386031181</v>
      </c>
      <c r="I17" s="37" t="s">
        <v>83</v>
      </c>
      <c r="J17" s="2" t="s">
        <v>189</v>
      </c>
    </row>
    <row r="18" spans="1:10" ht="18" customHeight="1">
      <c r="A18" s="13" t="s">
        <v>190</v>
      </c>
      <c r="B18" s="6"/>
      <c r="C18" s="29" t="s">
        <v>188</v>
      </c>
      <c r="D18" s="66">
        <f>SystemMSP*InsuranceRate</f>
        <v>4.5478146732538978</v>
      </c>
      <c r="E18" s="30">
        <f>IncludeIndirect*1</f>
        <v>1</v>
      </c>
      <c r="F18" s="7">
        <f t="shared" si="0"/>
        <v>4.5478146732538978</v>
      </c>
      <c r="G18" s="4"/>
      <c r="H18" s="12">
        <f t="shared" si="1"/>
        <v>4.5478146732538978</v>
      </c>
      <c r="I18" s="37" t="s">
        <v>83</v>
      </c>
      <c r="J18" s="2" t="s">
        <v>305</v>
      </c>
    </row>
    <row r="19" spans="1:10" ht="18" customHeight="1">
      <c r="A19" s="13" t="s">
        <v>170</v>
      </c>
      <c r="B19" s="6">
        <v>8853.3033333333296</v>
      </c>
      <c r="C19" s="29"/>
      <c r="D19" s="4"/>
      <c r="E19" s="30"/>
      <c r="F19" s="7">
        <f t="shared" si="0"/>
        <v>29.716051869007249</v>
      </c>
      <c r="G19" s="4"/>
      <c r="H19" s="12">
        <f t="shared" si="1"/>
        <v>29.716051869007249</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50.98783205803403</v>
      </c>
      <c r="G22" s="15" t="s">
        <v>61</v>
      </c>
      <c r="H22" s="8">
        <f>SUM(H10:H21)</f>
        <v>50.98783205803403</v>
      </c>
      <c r="I22"/>
      <c r="J22"/>
    </row>
    <row r="23" spans="1:10">
      <c r="F23" s="11"/>
    </row>
  </sheetData>
  <sheetProtection algorithmName="SHA-512" hashValue="GPxPP7AFLdZq5yrWkLkdWd8CNUZ3dF7x1cwzkKXzoHNMv1+9yFgLD+9if7gmvEv5FbYyON992+a6jYL4tOtQ2w==" saltValue="Kp43yE9DMB2WdV0uXfcoGQ=="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2.5</v>
      </c>
      <c r="D10" s="37" t="s">
        <v>89</v>
      </c>
      <c r="E10" s="59" t="str">
        <f t="shared" si="0"/>
        <v>/</v>
      </c>
      <c r="F10" s="37"/>
      <c r="G10" s="58"/>
      <c r="H10" s="2"/>
    </row>
    <row r="11" spans="1:8">
      <c r="A11" s="13" t="s">
        <v>1</v>
      </c>
      <c r="B11" s="13" t="s">
        <v>203</v>
      </c>
      <c r="C11" s="2">
        <v>1.915</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O1+ErhLZOEcNtCcUP9wCE1KEiEbssmCg7sybVSrYhGaNEUB+pVd97k6qv9XQRI92wVZIfZyIQVyRgr2Y3+sAJg==" saltValue="mU5RebNXrCViQlBnUfEt/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2026-04-06T15:59:41Z</dcterms:modified>
</cp:coreProperties>
</file>